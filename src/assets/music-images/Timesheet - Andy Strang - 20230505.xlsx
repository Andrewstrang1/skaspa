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jects\VinylRipper\VinylRipper\Resources\"/>
    </mc:Choice>
  </mc:AlternateContent>
  <xr:revisionPtr revIDLastSave="0" documentId="13_ncr:1_{D52BF4B0-1A75-480C-9ADF-E48963DCBD7E}" xr6:coauthVersionLast="47" xr6:coauthVersionMax="47" xr10:uidLastSave="{00000000-0000-0000-0000-000000000000}"/>
  <bookViews>
    <workbookView xWindow="12195" yWindow="900" windowWidth="36645" windowHeight="18270" tabRatio="747" firstSheet="8" activeTab="22" xr2:uid="{49C9854A-50E6-478C-AD6C-6DB4EA4AB42F}"/>
  </bookViews>
  <sheets>
    <sheet name="Timesheet" sheetId="1" r:id="rId1"/>
    <sheet name="Week 1" sheetId="71" r:id="rId2"/>
    <sheet name="Week 2" sheetId="72" r:id="rId3"/>
    <sheet name="Week 3" sheetId="73" r:id="rId4"/>
    <sheet name="Week 4" sheetId="74" r:id="rId5"/>
    <sheet name="Week 5" sheetId="75" r:id="rId6"/>
    <sheet name="Week 6" sheetId="76" r:id="rId7"/>
    <sheet name="Week 7" sheetId="77" r:id="rId8"/>
    <sheet name="Week 8" sheetId="78" r:id="rId9"/>
    <sheet name="Week 9" sheetId="79" r:id="rId10"/>
    <sheet name="Week 10" sheetId="80" r:id="rId11"/>
    <sheet name="Week 11" sheetId="81" r:id="rId12"/>
    <sheet name="Week 12" sheetId="82" r:id="rId13"/>
    <sheet name="Week 13" sheetId="83" r:id="rId14"/>
    <sheet name="Week 14" sheetId="84" r:id="rId15"/>
    <sheet name="Week 15" sheetId="85" r:id="rId16"/>
    <sheet name="Week 16" sheetId="86" r:id="rId17"/>
    <sheet name="Week 17" sheetId="87" r:id="rId18"/>
    <sheet name="Week 18" sheetId="88" r:id="rId19"/>
    <sheet name="Week 19" sheetId="89" r:id="rId20"/>
    <sheet name="Week 20" sheetId="90" r:id="rId21"/>
    <sheet name="Week 21" sheetId="91" r:id="rId22"/>
    <sheet name="Week 22" sheetId="92" r:id="rId23"/>
    <sheet name="Week 23" sheetId="93" r:id="rId24"/>
    <sheet name="Week 24" sheetId="94" r:id="rId25"/>
    <sheet name="Week 25" sheetId="95" r:id="rId26"/>
    <sheet name="Week 26" sheetId="96" r:id="rId27"/>
    <sheet name="Week 27" sheetId="97" r:id="rId28"/>
  </sheets>
  <definedNames>
    <definedName name="ColumnTitle1" localSheetId="1">TimeSheet72[[#Headers],[Dates(s)]]</definedName>
    <definedName name="ColumnTitle1" localSheetId="10">TimeSheet81[[#Headers],[Dates(s)]]</definedName>
    <definedName name="ColumnTitle1" localSheetId="11">TimeSheet82[[#Headers],[Dates(s)]]</definedName>
    <definedName name="ColumnTitle1" localSheetId="12">TimeSheet83[[#Headers],[Dates(s)]]</definedName>
    <definedName name="ColumnTitle1" localSheetId="13">TimeSheet84[[#Headers],[Dates(s)]]</definedName>
    <definedName name="ColumnTitle1" localSheetId="14">TimeSheet85[[#Headers],[Dates(s)]]</definedName>
    <definedName name="ColumnTitle1" localSheetId="15">TimeSheet86[[#Headers],[Dates(s)]]</definedName>
    <definedName name="ColumnTitle1" localSheetId="16">TimeSheet87[[#Headers],[Dates(s)]]</definedName>
    <definedName name="ColumnTitle1" localSheetId="17">TimeSheet88[[#Headers],[Dates(s)]]</definedName>
    <definedName name="ColumnTitle1" localSheetId="18">TimeSheet89[[#Headers],[Dates(s)]]</definedName>
    <definedName name="ColumnTitle1" localSheetId="19">TimeSheet90[[#Headers],[Dates(s)]]</definedName>
    <definedName name="ColumnTitle1" localSheetId="2">TimeSheet73[[#Headers],[Dates(s)]]</definedName>
    <definedName name="ColumnTitle1" localSheetId="20">TimeSheet91[[#Headers],[Dates(s)]]</definedName>
    <definedName name="ColumnTitle1" localSheetId="21">TimeSheet92[[#Headers],[Dates(s)]]</definedName>
    <definedName name="ColumnTitle1" localSheetId="22">TimeSheet93[[#Headers],[Dates(s)]]</definedName>
    <definedName name="ColumnTitle1" localSheetId="23">TimeSheet94[[#Headers],[Dates(s)]]</definedName>
    <definedName name="ColumnTitle1" localSheetId="24">TimeSheet95[[#Headers],[Dates(s)]]</definedName>
    <definedName name="ColumnTitle1" localSheetId="25">TimeSheet96[[#Headers],[Dates(s)]]</definedName>
    <definedName name="ColumnTitle1" localSheetId="26">TimeSheet97[[#Headers],[Dates(s)]]</definedName>
    <definedName name="ColumnTitle1" localSheetId="27">TimeSheet98[[#Headers],[Dates(s)]]</definedName>
    <definedName name="ColumnTitle1" localSheetId="3">TimeSheet74[[#Headers],[Dates(s)]]</definedName>
    <definedName name="ColumnTitle1" localSheetId="4">TimeSheet75[[#Headers],[Dates(s)]]</definedName>
    <definedName name="ColumnTitle1" localSheetId="5">TimeSheet76[[#Headers],[Dates(s)]]</definedName>
    <definedName name="ColumnTitle1" localSheetId="6">TimeSheet77[[#Headers],[Dates(s)]]</definedName>
    <definedName name="ColumnTitle1" localSheetId="7">TimeSheet78[[#Headers],[Dates(s)]]</definedName>
    <definedName name="ColumnTitle1" localSheetId="8">TimeSheet79[[#Headers],[Dates(s)]]</definedName>
    <definedName name="ColumnTitle1" localSheetId="9">TimeSheet80[[#Headers],[Dates(s)]]</definedName>
    <definedName name="ColumnTitle1">TimeSheet[[#Headers],[Dates(s)]]</definedName>
    <definedName name="ColumnTitleRegion1..E6.1" localSheetId="1">'Week 1'!$C$6</definedName>
    <definedName name="ColumnTitleRegion1..E6.1" localSheetId="10">'Week 10'!$C$6</definedName>
    <definedName name="ColumnTitleRegion1..E6.1" localSheetId="11">'Week 11'!$C$6</definedName>
    <definedName name="ColumnTitleRegion1..E6.1" localSheetId="12">'Week 12'!$C$6</definedName>
    <definedName name="ColumnTitleRegion1..E6.1" localSheetId="13">'Week 13'!$C$6</definedName>
    <definedName name="ColumnTitleRegion1..E6.1" localSheetId="14">'Week 14'!$C$6</definedName>
    <definedName name="ColumnTitleRegion1..E6.1" localSheetId="15">'Week 15'!$C$6</definedName>
    <definedName name="ColumnTitleRegion1..E6.1" localSheetId="16">'Week 16'!$C$6</definedName>
    <definedName name="ColumnTitleRegion1..E6.1" localSheetId="17">'Week 17'!$C$6</definedName>
    <definedName name="ColumnTitleRegion1..E6.1" localSheetId="18">'Week 18'!$C$6</definedName>
    <definedName name="ColumnTitleRegion1..E6.1" localSheetId="19">'Week 19'!$C$6</definedName>
    <definedName name="ColumnTitleRegion1..E6.1" localSheetId="2">'Week 2'!$C$6</definedName>
    <definedName name="ColumnTitleRegion1..E6.1" localSheetId="20">'Week 20'!$C$6</definedName>
    <definedName name="ColumnTitleRegion1..E6.1" localSheetId="21">'Week 21'!$C$6</definedName>
    <definedName name="ColumnTitleRegion1..E6.1" localSheetId="22">'Week 22'!$C$6</definedName>
    <definedName name="ColumnTitleRegion1..E6.1" localSheetId="23">'Week 23'!$C$6</definedName>
    <definedName name="ColumnTitleRegion1..E6.1" localSheetId="24">'Week 24'!$C$6</definedName>
    <definedName name="ColumnTitleRegion1..E6.1" localSheetId="25">'Week 25'!$C$6</definedName>
    <definedName name="ColumnTitleRegion1..E6.1" localSheetId="26">'Week 26'!$C$6</definedName>
    <definedName name="ColumnTitleRegion1..E6.1" localSheetId="27">'Week 27'!$C$6</definedName>
    <definedName name="ColumnTitleRegion1..E6.1" localSheetId="3">'Week 3'!$C$6</definedName>
    <definedName name="ColumnTitleRegion1..E6.1" localSheetId="4">'Week 4'!$C$6</definedName>
    <definedName name="ColumnTitleRegion1..E6.1" localSheetId="5">'Week 5'!$C$6</definedName>
    <definedName name="ColumnTitleRegion1..E6.1" localSheetId="6">'Week 6'!$C$6</definedName>
    <definedName name="ColumnTitleRegion1..E6.1" localSheetId="7">'Week 7'!$C$6</definedName>
    <definedName name="ColumnTitleRegion1..E6.1" localSheetId="8">'Week 8'!$C$6</definedName>
    <definedName name="ColumnTitleRegion1..E6.1" localSheetId="9">'Week 9'!$C$6</definedName>
    <definedName name="ColumnTitleRegion1..E6.1">Timesheet!$C$6</definedName>
    <definedName name="_xlnm.Print_Titles" localSheetId="0">Timesheet!$8:$8</definedName>
    <definedName name="_xlnm.Print_Titles" localSheetId="1">'Week 1'!$8:$8</definedName>
    <definedName name="_xlnm.Print_Titles" localSheetId="10">'Week 10'!$8:$8</definedName>
    <definedName name="_xlnm.Print_Titles" localSheetId="11">'Week 11'!$8:$8</definedName>
    <definedName name="_xlnm.Print_Titles" localSheetId="12">'Week 12'!$8:$8</definedName>
    <definedName name="_xlnm.Print_Titles" localSheetId="13">'Week 13'!$8:$8</definedName>
    <definedName name="_xlnm.Print_Titles" localSheetId="14">'Week 14'!$8:$8</definedName>
    <definedName name="_xlnm.Print_Titles" localSheetId="15">'Week 15'!$8:$8</definedName>
    <definedName name="_xlnm.Print_Titles" localSheetId="16">'Week 16'!$8:$8</definedName>
    <definedName name="_xlnm.Print_Titles" localSheetId="17">'Week 17'!$8:$8</definedName>
    <definedName name="_xlnm.Print_Titles" localSheetId="18">'Week 18'!$8:$8</definedName>
    <definedName name="_xlnm.Print_Titles" localSheetId="19">'Week 19'!$8:$8</definedName>
    <definedName name="_xlnm.Print_Titles" localSheetId="2">'Week 2'!$8:$8</definedName>
    <definedName name="_xlnm.Print_Titles" localSheetId="20">'Week 20'!$8:$8</definedName>
    <definedName name="_xlnm.Print_Titles" localSheetId="21">'Week 21'!$8:$8</definedName>
    <definedName name="_xlnm.Print_Titles" localSheetId="22">'Week 22'!$8:$8</definedName>
    <definedName name="_xlnm.Print_Titles" localSheetId="23">'Week 23'!$8:$8</definedName>
    <definedName name="_xlnm.Print_Titles" localSheetId="24">'Week 24'!$8:$8</definedName>
    <definedName name="_xlnm.Print_Titles" localSheetId="25">'Week 25'!$8:$8</definedName>
    <definedName name="_xlnm.Print_Titles" localSheetId="26">'Week 26'!$8:$8</definedName>
    <definedName name="_xlnm.Print_Titles" localSheetId="27">'Week 27'!$8:$8</definedName>
    <definedName name="_xlnm.Print_Titles" localSheetId="3">'Week 3'!$8:$8</definedName>
    <definedName name="_xlnm.Print_Titles" localSheetId="4">'Week 4'!$8:$8</definedName>
    <definedName name="_xlnm.Print_Titles" localSheetId="5">'Week 5'!$8:$8</definedName>
    <definedName name="_xlnm.Print_Titles" localSheetId="6">'Week 6'!$8:$8</definedName>
    <definedName name="_xlnm.Print_Titles" localSheetId="7">'Week 7'!$8:$8</definedName>
    <definedName name="_xlnm.Print_Titles" localSheetId="8">'Week 8'!$8:$8</definedName>
    <definedName name="_xlnm.Print_Titles" localSheetId="9">'Week 9'!$8:$8</definedName>
    <definedName name="WorkweekHours" localSheetId="1">'Week 1'!$C$7</definedName>
    <definedName name="WorkweekHours" localSheetId="10">'Week 10'!$C$7</definedName>
    <definedName name="WorkweekHours" localSheetId="11">'Week 11'!$C$7</definedName>
    <definedName name="WorkweekHours" localSheetId="12">'Week 12'!$C$7</definedName>
    <definedName name="WorkweekHours" localSheetId="13">'Week 13'!$C$7</definedName>
    <definedName name="WorkweekHours" localSheetId="14">'Week 14'!$C$7</definedName>
    <definedName name="WorkweekHours" localSheetId="15">'Week 15'!$C$7</definedName>
    <definedName name="WorkweekHours" localSheetId="16">'Week 16'!$C$7</definedName>
    <definedName name="WorkweekHours" localSheetId="17">'Week 17'!$C$7</definedName>
    <definedName name="WorkweekHours" localSheetId="18">'Week 18'!$C$7</definedName>
    <definedName name="WorkweekHours" localSheetId="19">'Week 19'!$C$7</definedName>
    <definedName name="WorkweekHours" localSheetId="2">'Week 2'!$C$7</definedName>
    <definedName name="WorkweekHours" localSheetId="20">'Week 20'!$C$7</definedName>
    <definedName name="WorkweekHours" localSheetId="21">'Week 21'!$C$7</definedName>
    <definedName name="WorkweekHours" localSheetId="22">'Week 22'!$C$7</definedName>
    <definedName name="WorkweekHours" localSheetId="23">'Week 23'!$C$7</definedName>
    <definedName name="WorkweekHours" localSheetId="24">'Week 24'!$C$7</definedName>
    <definedName name="WorkweekHours" localSheetId="25">'Week 25'!$C$7</definedName>
    <definedName name="WorkweekHours" localSheetId="26">'Week 26'!$C$7</definedName>
    <definedName name="WorkweekHours" localSheetId="27">'Week 27'!$C$7</definedName>
    <definedName name="WorkweekHours" localSheetId="3">'Week 3'!$C$7</definedName>
    <definedName name="WorkweekHours" localSheetId="4">'Week 4'!$C$7</definedName>
    <definedName name="WorkweekHours" localSheetId="5">'Week 5'!$C$7</definedName>
    <definedName name="WorkweekHours" localSheetId="6">'Week 6'!$C$7</definedName>
    <definedName name="WorkweekHours" localSheetId="7">'Week 7'!$C$7</definedName>
    <definedName name="WorkweekHours" localSheetId="8">'Week 8'!$C$7</definedName>
    <definedName name="WorkweekHours" localSheetId="9">'Week 9'!$C$7</definedName>
    <definedName name="WorkweekHours">Timesheet!$C$7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92" l="1"/>
  <c r="G10" i="92"/>
  <c r="G11" i="92"/>
  <c r="G12" i="92"/>
  <c r="G13" i="92"/>
  <c r="G14" i="92"/>
  <c r="G15" i="92"/>
  <c r="G9" i="96"/>
  <c r="G10" i="96"/>
  <c r="G11" i="96"/>
  <c r="G12" i="96"/>
  <c r="G13" i="96"/>
  <c r="G14" i="96"/>
  <c r="G15" i="96"/>
  <c r="G9" i="95"/>
  <c r="G10" i="95"/>
  <c r="G11" i="95"/>
  <c r="G12" i="95"/>
  <c r="G13" i="95"/>
  <c r="G14" i="95"/>
  <c r="G15" i="95"/>
  <c r="G10" i="94"/>
  <c r="G11" i="94"/>
  <c r="G12" i="94"/>
  <c r="G13" i="94"/>
  <c r="G9" i="94"/>
  <c r="G14" i="94"/>
  <c r="G15" i="94"/>
  <c r="G9" i="93"/>
  <c r="G10" i="93"/>
  <c r="G11" i="93"/>
  <c r="G12" i="93"/>
  <c r="G13" i="93"/>
  <c r="G14" i="93"/>
  <c r="G15" i="93"/>
  <c r="G9" i="76"/>
  <c r="G10" i="76"/>
  <c r="G11" i="76"/>
  <c r="G12" i="76"/>
  <c r="G13" i="76"/>
  <c r="G14" i="76"/>
  <c r="G15" i="76"/>
  <c r="G9" i="75"/>
  <c r="G10" i="75"/>
  <c r="G11" i="75"/>
  <c r="G12" i="75"/>
  <c r="G13" i="75"/>
  <c r="G14" i="75"/>
  <c r="G15" i="75"/>
  <c r="G9" i="73"/>
  <c r="G10" i="73"/>
  <c r="G11" i="73"/>
  <c r="G12" i="73"/>
  <c r="G13" i="73"/>
  <c r="G14" i="73"/>
  <c r="G15" i="73"/>
  <c r="G9" i="72"/>
  <c r="G10" i="72"/>
  <c r="G11" i="72"/>
  <c r="G12" i="72"/>
  <c r="G13" i="72"/>
  <c r="G14" i="72"/>
  <c r="G15" i="72"/>
  <c r="G9" i="71"/>
  <c r="G15" i="97"/>
  <c r="G14" i="97"/>
  <c r="G13" i="97"/>
  <c r="G12" i="97"/>
  <c r="G11" i="97"/>
  <c r="G10" i="97"/>
  <c r="G9" i="97"/>
  <c r="B9" i="97"/>
  <c r="B10" i="97" s="1"/>
  <c r="B11" i="97" s="1"/>
  <c r="B12" i="97" s="1"/>
  <c r="B13" i="97" s="1"/>
  <c r="B14" i="97" s="1"/>
  <c r="B15" i="97" s="1"/>
  <c r="F7" i="97"/>
  <c r="E7" i="97"/>
  <c r="C7" i="97" s="1"/>
  <c r="G3" i="97"/>
  <c r="B9" i="96"/>
  <c r="B10" i="96" s="1"/>
  <c r="B11" i="96" s="1"/>
  <c r="B12" i="96" s="1"/>
  <c r="B13" i="96" s="1"/>
  <c r="B14" i="96" s="1"/>
  <c r="B15" i="96" s="1"/>
  <c r="F7" i="96"/>
  <c r="E7" i="96"/>
  <c r="C7" i="96" s="1"/>
  <c r="G3" i="96"/>
  <c r="B9" i="95"/>
  <c r="B10" i="95" s="1"/>
  <c r="B11" i="95" s="1"/>
  <c r="B12" i="95" s="1"/>
  <c r="B13" i="95" s="1"/>
  <c r="B14" i="95" s="1"/>
  <c r="B15" i="95" s="1"/>
  <c r="F7" i="95"/>
  <c r="E7" i="95"/>
  <c r="C7" i="95" s="1"/>
  <c r="G3" i="95"/>
  <c r="B9" i="94"/>
  <c r="B10" i="94" s="1"/>
  <c r="B11" i="94" s="1"/>
  <c r="B12" i="94" s="1"/>
  <c r="B13" i="94" s="1"/>
  <c r="B14" i="94" s="1"/>
  <c r="B15" i="94" s="1"/>
  <c r="F7" i="94"/>
  <c r="E7" i="94"/>
  <c r="C7" i="94" s="1"/>
  <c r="G3" i="94"/>
  <c r="B9" i="93"/>
  <c r="B10" i="93" s="1"/>
  <c r="B11" i="93" s="1"/>
  <c r="B12" i="93" s="1"/>
  <c r="B13" i="93" s="1"/>
  <c r="B14" i="93" s="1"/>
  <c r="B15" i="93" s="1"/>
  <c r="F7" i="93"/>
  <c r="C7" i="93" s="1"/>
  <c r="E7" i="93"/>
  <c r="G3" i="93"/>
  <c r="B9" i="92"/>
  <c r="B10" i="92" s="1"/>
  <c r="B11" i="92" s="1"/>
  <c r="B12" i="92" s="1"/>
  <c r="B13" i="92" s="1"/>
  <c r="B14" i="92" s="1"/>
  <c r="B15" i="92" s="1"/>
  <c r="F7" i="92"/>
  <c r="C7" i="92" s="1"/>
  <c r="E7" i="92"/>
  <c r="G3" i="92"/>
  <c r="G15" i="91"/>
  <c r="G14" i="91"/>
  <c r="G13" i="91"/>
  <c r="G12" i="91"/>
  <c r="G11" i="91"/>
  <c r="G10" i="91"/>
  <c r="G9" i="91"/>
  <c r="B9" i="91"/>
  <c r="B10" i="91" s="1"/>
  <c r="B11" i="91" s="1"/>
  <c r="B12" i="91" s="1"/>
  <c r="B13" i="91" s="1"/>
  <c r="B14" i="91" s="1"/>
  <c r="B15" i="91" s="1"/>
  <c r="F7" i="91"/>
  <c r="C7" i="91" s="1"/>
  <c r="E7" i="91"/>
  <c r="G3" i="91"/>
  <c r="G15" i="90"/>
  <c r="G14" i="90"/>
  <c r="G13" i="90"/>
  <c r="G12" i="90"/>
  <c r="G11" i="90"/>
  <c r="G10" i="90"/>
  <c r="G9" i="90"/>
  <c r="B9" i="90"/>
  <c r="B10" i="90" s="1"/>
  <c r="B11" i="90" s="1"/>
  <c r="B12" i="90" s="1"/>
  <c r="B13" i="90" s="1"/>
  <c r="B14" i="90" s="1"/>
  <c r="B15" i="90" s="1"/>
  <c r="F7" i="90"/>
  <c r="E7" i="90"/>
  <c r="C7" i="90" s="1"/>
  <c r="G3" i="90"/>
  <c r="G15" i="89"/>
  <c r="G14" i="89"/>
  <c r="G13" i="89"/>
  <c r="G12" i="89"/>
  <c r="G11" i="89"/>
  <c r="G10" i="89"/>
  <c r="G9" i="89"/>
  <c r="B9" i="89"/>
  <c r="B10" i="89" s="1"/>
  <c r="B11" i="89" s="1"/>
  <c r="B12" i="89" s="1"/>
  <c r="B13" i="89" s="1"/>
  <c r="B14" i="89" s="1"/>
  <c r="B15" i="89" s="1"/>
  <c r="F7" i="89"/>
  <c r="E7" i="89"/>
  <c r="C7" i="89" s="1"/>
  <c r="G3" i="89"/>
  <c r="G15" i="88"/>
  <c r="G14" i="88"/>
  <c r="G13" i="88"/>
  <c r="G12" i="88"/>
  <c r="G11" i="88"/>
  <c r="G10" i="88"/>
  <c r="G9" i="88"/>
  <c r="B9" i="88"/>
  <c r="B10" i="88" s="1"/>
  <c r="B11" i="88" s="1"/>
  <c r="B12" i="88" s="1"/>
  <c r="B13" i="88" s="1"/>
  <c r="B14" i="88" s="1"/>
  <c r="B15" i="88" s="1"/>
  <c r="F7" i="88"/>
  <c r="E7" i="88"/>
  <c r="C7" i="88" s="1"/>
  <c r="G3" i="88"/>
  <c r="G15" i="87"/>
  <c r="G14" i="87"/>
  <c r="G13" i="87"/>
  <c r="G12" i="87"/>
  <c r="G11" i="87"/>
  <c r="G10" i="87"/>
  <c r="G9" i="87"/>
  <c r="B9" i="87"/>
  <c r="B10" i="87" s="1"/>
  <c r="B11" i="87" s="1"/>
  <c r="B12" i="87" s="1"/>
  <c r="B13" i="87" s="1"/>
  <c r="B14" i="87" s="1"/>
  <c r="B15" i="87" s="1"/>
  <c r="F7" i="87"/>
  <c r="E7" i="87"/>
  <c r="C7" i="87" s="1"/>
  <c r="G3" i="87"/>
  <c r="G15" i="86"/>
  <c r="G14" i="86"/>
  <c r="G13" i="86"/>
  <c r="G12" i="86"/>
  <c r="G11" i="86"/>
  <c r="G10" i="86"/>
  <c r="G9" i="86"/>
  <c r="B9" i="86"/>
  <c r="B10" i="86" s="1"/>
  <c r="B11" i="86" s="1"/>
  <c r="B12" i="86" s="1"/>
  <c r="B13" i="86" s="1"/>
  <c r="B14" i="86" s="1"/>
  <c r="B15" i="86" s="1"/>
  <c r="F7" i="86"/>
  <c r="E7" i="86"/>
  <c r="C7" i="86" s="1"/>
  <c r="G3" i="86"/>
  <c r="G15" i="85"/>
  <c r="G14" i="85"/>
  <c r="G13" i="85"/>
  <c r="G12" i="85"/>
  <c r="G11" i="85"/>
  <c r="G10" i="85"/>
  <c r="G9" i="85"/>
  <c r="B9" i="85"/>
  <c r="B10" i="85" s="1"/>
  <c r="B11" i="85" s="1"/>
  <c r="B12" i="85" s="1"/>
  <c r="B13" i="85" s="1"/>
  <c r="B14" i="85" s="1"/>
  <c r="B15" i="85" s="1"/>
  <c r="F7" i="85"/>
  <c r="E7" i="85"/>
  <c r="C7" i="85" s="1"/>
  <c r="G3" i="85"/>
  <c r="G15" i="84"/>
  <c r="G14" i="84"/>
  <c r="G13" i="84"/>
  <c r="G12" i="84"/>
  <c r="G11" i="84"/>
  <c r="G10" i="84"/>
  <c r="G9" i="84"/>
  <c r="B9" i="84"/>
  <c r="B10" i="84" s="1"/>
  <c r="B11" i="84" s="1"/>
  <c r="B12" i="84" s="1"/>
  <c r="B13" i="84" s="1"/>
  <c r="B14" i="84" s="1"/>
  <c r="B15" i="84" s="1"/>
  <c r="F7" i="84"/>
  <c r="E7" i="84"/>
  <c r="C7" i="84" s="1"/>
  <c r="G3" i="84"/>
  <c r="G15" i="83"/>
  <c r="G14" i="83"/>
  <c r="G13" i="83"/>
  <c r="G12" i="83"/>
  <c r="G11" i="83"/>
  <c r="G10" i="83"/>
  <c r="G9" i="83"/>
  <c r="B9" i="83"/>
  <c r="B10" i="83" s="1"/>
  <c r="B11" i="83" s="1"/>
  <c r="B12" i="83" s="1"/>
  <c r="B13" i="83" s="1"/>
  <c r="B14" i="83" s="1"/>
  <c r="B15" i="83" s="1"/>
  <c r="F7" i="83"/>
  <c r="E7" i="83"/>
  <c r="C7" i="83" s="1"/>
  <c r="G3" i="83"/>
  <c r="G15" i="82"/>
  <c r="G14" i="82"/>
  <c r="G13" i="82"/>
  <c r="G12" i="82"/>
  <c r="G11" i="82"/>
  <c r="G10" i="82"/>
  <c r="G9" i="82"/>
  <c r="B9" i="82"/>
  <c r="B10" i="82" s="1"/>
  <c r="B11" i="82" s="1"/>
  <c r="B12" i="82" s="1"/>
  <c r="B13" i="82" s="1"/>
  <c r="B14" i="82" s="1"/>
  <c r="B15" i="82" s="1"/>
  <c r="F7" i="82"/>
  <c r="E7" i="82"/>
  <c r="C7" i="82" s="1"/>
  <c r="G3" i="82"/>
  <c r="G15" i="81"/>
  <c r="G14" i="81"/>
  <c r="G13" i="81"/>
  <c r="G12" i="81"/>
  <c r="G11" i="81"/>
  <c r="G10" i="81"/>
  <c r="G9" i="81"/>
  <c r="B9" i="81"/>
  <c r="B10" i="81" s="1"/>
  <c r="B11" i="81" s="1"/>
  <c r="B12" i="81" s="1"/>
  <c r="B13" i="81" s="1"/>
  <c r="B14" i="81" s="1"/>
  <c r="B15" i="81" s="1"/>
  <c r="F7" i="81"/>
  <c r="E7" i="81"/>
  <c r="C7" i="81" s="1"/>
  <c r="G3" i="81"/>
  <c r="G15" i="80"/>
  <c r="G14" i="80"/>
  <c r="G13" i="80"/>
  <c r="G12" i="80"/>
  <c r="G11" i="80"/>
  <c r="G10" i="80"/>
  <c r="G9" i="80"/>
  <c r="B9" i="80"/>
  <c r="B10" i="80" s="1"/>
  <c r="B11" i="80" s="1"/>
  <c r="B12" i="80" s="1"/>
  <c r="B13" i="80" s="1"/>
  <c r="B14" i="80" s="1"/>
  <c r="B15" i="80" s="1"/>
  <c r="F7" i="80"/>
  <c r="E7" i="80"/>
  <c r="C7" i="80" s="1"/>
  <c r="G3" i="80"/>
  <c r="G15" i="79"/>
  <c r="G14" i="79"/>
  <c r="G13" i="79"/>
  <c r="G12" i="79"/>
  <c r="G11" i="79"/>
  <c r="G10" i="79"/>
  <c r="G9" i="79"/>
  <c r="B9" i="79"/>
  <c r="B10" i="79" s="1"/>
  <c r="B11" i="79" s="1"/>
  <c r="B12" i="79" s="1"/>
  <c r="B13" i="79" s="1"/>
  <c r="B14" i="79" s="1"/>
  <c r="B15" i="79" s="1"/>
  <c r="F7" i="79"/>
  <c r="E7" i="79"/>
  <c r="C7" i="79" s="1"/>
  <c r="G3" i="79"/>
  <c r="G15" i="78"/>
  <c r="G14" i="78"/>
  <c r="G13" i="78"/>
  <c r="G12" i="78"/>
  <c r="G11" i="78"/>
  <c r="G10" i="78"/>
  <c r="G9" i="78"/>
  <c r="B9" i="78"/>
  <c r="B10" i="78" s="1"/>
  <c r="B11" i="78" s="1"/>
  <c r="B12" i="78" s="1"/>
  <c r="B13" i="78" s="1"/>
  <c r="B14" i="78" s="1"/>
  <c r="B15" i="78" s="1"/>
  <c r="F7" i="78"/>
  <c r="E7" i="78"/>
  <c r="C7" i="78" s="1"/>
  <c r="G3" i="78"/>
  <c r="G15" i="77"/>
  <c r="G14" i="77"/>
  <c r="G13" i="77"/>
  <c r="G12" i="77"/>
  <c r="G11" i="77"/>
  <c r="G10" i="77"/>
  <c r="G9" i="77"/>
  <c r="B9" i="77"/>
  <c r="B10" i="77" s="1"/>
  <c r="B11" i="77" s="1"/>
  <c r="B12" i="77" s="1"/>
  <c r="B13" i="77" s="1"/>
  <c r="B14" i="77" s="1"/>
  <c r="B15" i="77" s="1"/>
  <c r="F7" i="77"/>
  <c r="E7" i="77"/>
  <c r="G3" i="77"/>
  <c r="B9" i="76"/>
  <c r="B10" i="76" s="1"/>
  <c r="B11" i="76" s="1"/>
  <c r="B12" i="76" s="1"/>
  <c r="B13" i="76" s="1"/>
  <c r="B14" i="76" s="1"/>
  <c r="B15" i="76" s="1"/>
  <c r="F7" i="76"/>
  <c r="E7" i="76"/>
  <c r="C7" i="76" s="1"/>
  <c r="G3" i="76"/>
  <c r="B9" i="75"/>
  <c r="B10" i="75" s="1"/>
  <c r="B11" i="75" s="1"/>
  <c r="B12" i="75" s="1"/>
  <c r="B13" i="75" s="1"/>
  <c r="B14" i="75" s="1"/>
  <c r="B15" i="75" s="1"/>
  <c r="F7" i="75"/>
  <c r="E7" i="75"/>
  <c r="C7" i="75" s="1"/>
  <c r="G3" i="75"/>
  <c r="G15" i="74"/>
  <c r="G14" i="74"/>
  <c r="G13" i="74"/>
  <c r="G12" i="74"/>
  <c r="G11" i="74"/>
  <c r="G10" i="74"/>
  <c r="G9" i="74"/>
  <c r="B9" i="74"/>
  <c r="B10" i="74" s="1"/>
  <c r="B11" i="74" s="1"/>
  <c r="B12" i="74" s="1"/>
  <c r="B13" i="74" s="1"/>
  <c r="B14" i="74" s="1"/>
  <c r="B15" i="74" s="1"/>
  <c r="F7" i="74"/>
  <c r="E7" i="74"/>
  <c r="C7" i="74" s="1"/>
  <c r="G3" i="74"/>
  <c r="B10" i="73"/>
  <c r="B11" i="73" s="1"/>
  <c r="B12" i="73" s="1"/>
  <c r="B13" i="73" s="1"/>
  <c r="B14" i="73" s="1"/>
  <c r="B15" i="73" s="1"/>
  <c r="B9" i="73"/>
  <c r="F7" i="73"/>
  <c r="E7" i="73"/>
  <c r="C7" i="73" s="1"/>
  <c r="G3" i="73"/>
  <c r="B9" i="72"/>
  <c r="B10" i="72" s="1"/>
  <c r="B11" i="72" s="1"/>
  <c r="B12" i="72" s="1"/>
  <c r="B13" i="72" s="1"/>
  <c r="B14" i="72" s="1"/>
  <c r="B15" i="72" s="1"/>
  <c r="F7" i="72"/>
  <c r="E7" i="72"/>
  <c r="C7" i="72" s="1"/>
  <c r="G3" i="72"/>
  <c r="G15" i="71"/>
  <c r="G14" i="71"/>
  <c r="G13" i="71"/>
  <c r="G12" i="71"/>
  <c r="G11" i="71"/>
  <c r="G10" i="71"/>
  <c r="B9" i="71"/>
  <c r="B10" i="71" s="1"/>
  <c r="B11" i="71" s="1"/>
  <c r="B12" i="71" s="1"/>
  <c r="B13" i="71" s="1"/>
  <c r="B14" i="71" s="1"/>
  <c r="B15" i="71" s="1"/>
  <c r="F7" i="71"/>
  <c r="E7" i="71"/>
  <c r="C7" i="71" s="1"/>
  <c r="G3" i="71"/>
  <c r="G15" i="1"/>
  <c r="G14" i="1"/>
  <c r="G13" i="1"/>
  <c r="G12" i="1"/>
  <c r="G11" i="1"/>
  <c r="G10" i="1"/>
  <c r="G9" i="1"/>
  <c r="B9" i="1"/>
  <c r="B10" i="1" s="1"/>
  <c r="B11" i="1" s="1"/>
  <c r="B12" i="1" s="1"/>
  <c r="B13" i="1" s="1"/>
  <c r="B14" i="1" s="1"/>
  <c r="B15" i="1" s="1"/>
  <c r="F7" i="1"/>
  <c r="E7" i="1"/>
  <c r="C7" i="1" s="1"/>
  <c r="G3" i="1"/>
  <c r="C7" i="77" l="1"/>
</calcChain>
</file>

<file path=xl/sharedStrings.xml><?xml version="1.0" encoding="utf-8"?>
<sst xmlns="http://schemas.openxmlformats.org/spreadsheetml/2006/main" count="400" uniqueCount="15">
  <si>
    <t>Time Sheet</t>
  </si>
  <si>
    <t>Manager Details</t>
  </si>
  <si>
    <t>Contractor Details</t>
  </si>
  <si>
    <t>Period</t>
  </si>
  <si>
    <t>Kashif Ahmed</t>
  </si>
  <si>
    <t>Total Hours Worked</t>
  </si>
  <si>
    <t>Total Contract Hours</t>
  </si>
  <si>
    <t>Total Additional Hours</t>
  </si>
  <si>
    <t>Dates(s)</t>
  </si>
  <si>
    <t>Start Time</t>
  </si>
  <si>
    <t>Finish Time</t>
  </si>
  <si>
    <t>Contracted Hours</t>
  </si>
  <si>
    <t>Additional Hours</t>
  </si>
  <si>
    <t>Andrew Strang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</si>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</sst>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/d/yy;@"/>
    <numFmt numFmtId="165" formatCode="[h]:mm;@"/>
    <numFmt numFmtId="166" formatCode="ddd\,\ dd\ mmm\ yyyy;@"/>
    <numFmt numFmtId="167" formatCode="[$-409]h:mm\ AM/PM;@"/>
    <numFmt numFmtId="168" formatCode="h:mm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4"/>
      <name val="Calibri Light"/>
      <family val="2"/>
      <scheme val="major"/>
    </font>
    <font>
      <sz val="48"/>
      <color theme="9" tint="-0.499984740745262"/>
      <name val="Calibri Light"/>
      <family val="1"/>
      <scheme val="major"/>
    </font>
    <font>
      <b/>
      <sz val="16"/>
      <color theme="9" tint="-0.499984740745262"/>
      <name val="Calibri Light"/>
      <family val="1"/>
      <scheme val="major"/>
    </font>
    <font>
      <sz val="14"/>
      <color theme="1"/>
      <name val="Calibri"/>
      <family val="3"/>
      <scheme val="minor"/>
    </font>
    <font>
      <sz val="11"/>
      <color theme="1"/>
      <name val="Calibri"/>
      <family val="3"/>
      <scheme val="minor"/>
    </font>
    <font>
      <b/>
      <sz val="14"/>
      <color theme="9" tint="-0.499984740745262"/>
      <name val="Calibri Light"/>
      <family val="1"/>
      <scheme val="major"/>
    </font>
    <font>
      <sz val="12"/>
      <color theme="4"/>
      <name val="Calibri Light"/>
      <family val="2"/>
      <scheme val="major"/>
    </font>
    <font>
      <sz val="11"/>
      <color theme="1"/>
      <name val="Calibri"/>
      <family val="1"/>
      <scheme val="minor"/>
    </font>
    <font>
      <sz val="20"/>
      <color theme="4"/>
      <name val="Calibri"/>
      <family val="2"/>
      <scheme val="minor"/>
    </font>
    <font>
      <sz val="20"/>
      <color theme="1"/>
      <name val="Calibri"/>
      <family val="1"/>
      <scheme val="minor"/>
    </font>
    <font>
      <b/>
      <sz val="16"/>
      <color theme="9" tint="-0.499984740745262"/>
      <name val="Courier New"/>
      <family val="1"/>
    </font>
    <font>
      <sz val="14"/>
      <name val="Calibri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/>
      <right/>
      <top/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</borders>
  <cellStyleXfs count="8">
    <xf numFmtId="0" fontId="0" fillId="0" borderId="0">
      <alignment horizontal="left"/>
    </xf>
    <xf numFmtId="0" fontId="2" fillId="3" borderId="1" applyNumberFormat="0" applyProtection="0">
      <alignment horizontal="left"/>
    </xf>
    <xf numFmtId="0" fontId="8" fillId="0" borderId="0" applyNumberFormat="0" applyFill="0" applyBorder="0" applyProtection="0">
      <alignment wrapText="1"/>
    </xf>
    <xf numFmtId="39" fontId="10" fillId="0" borderId="0" applyFill="0" applyBorder="0" applyProtection="0">
      <alignment horizontal="left"/>
    </xf>
    <xf numFmtId="0" fontId="1" fillId="0" borderId="0" applyNumberFormat="0" applyFill="0" applyBorder="0" applyProtection="0">
      <alignment horizontal="left" wrapText="1"/>
    </xf>
    <xf numFmtId="164" fontId="1" fillId="0" borderId="0" applyFont="0" applyFill="0" applyBorder="0" applyAlignment="0">
      <alignment horizontal="left"/>
    </xf>
    <xf numFmtId="167" fontId="1" fillId="0" borderId="0" applyFont="0" applyFill="0" applyBorder="0" applyAlignment="0">
      <alignment horizontal="left"/>
    </xf>
    <xf numFmtId="4" fontId="1" fillId="0" borderId="0" applyFont="0" applyFill="0" applyBorder="0" applyAlignment="0">
      <alignment horizontal="left"/>
    </xf>
  </cellStyleXfs>
  <cellXfs count="27">
    <xf numFmtId="0" fontId="0" fillId="0" borderId="0" xfId="0">
      <alignment horizontal="left"/>
    </xf>
    <xf numFmtId="0" fontId="0" fillId="2" borderId="0" xfId="0" applyFill="1" applyAlignment="1">
      <alignment horizontal="center" vertical="center"/>
    </xf>
    <xf numFmtId="0" fontId="2" fillId="2" borderId="0" xfId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horizontal="left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>
      <alignment horizontal="left"/>
    </xf>
    <xf numFmtId="0" fontId="7" fillId="4" borderId="4" xfId="0" applyFont="1" applyFill="1" applyBorder="1">
      <alignment horizontal="left"/>
    </xf>
    <xf numFmtId="0" fontId="7" fillId="4" borderId="6" xfId="2" applyFont="1" applyFill="1" applyBorder="1" applyAlignment="1">
      <alignment horizontal="center" vertical="center" wrapText="1"/>
    </xf>
    <xf numFmtId="0" fontId="7" fillId="4" borderId="5" xfId="0" applyFont="1" applyFill="1" applyBorder="1">
      <alignment horizontal="left"/>
    </xf>
    <xf numFmtId="0" fontId="9" fillId="2" borderId="0" xfId="0" applyFont="1" applyFill="1">
      <alignment horizontal="left"/>
    </xf>
    <xf numFmtId="165" fontId="11" fillId="2" borderId="0" xfId="3" applyNumberFormat="1" applyFont="1" applyFill="1" applyAlignment="1">
      <alignment horizontal="center" vertical="center"/>
    </xf>
    <xf numFmtId="39" fontId="11" fillId="2" borderId="0" xfId="3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13" fillId="0" borderId="0" xfId="5" applyNumberFormat="1" applyFont="1" applyFill="1" applyBorder="1" applyAlignment="1">
      <alignment horizontal="center" vertical="center"/>
    </xf>
    <xf numFmtId="167" fontId="13" fillId="0" borderId="0" xfId="6" applyFont="1" applyFill="1" applyBorder="1" applyAlignment="1">
      <alignment horizontal="center" vertical="center"/>
    </xf>
    <xf numFmtId="168" fontId="13" fillId="0" borderId="0" xfId="6" applyNumberFormat="1" applyFont="1" applyFill="1" applyBorder="1" applyAlignment="1">
      <alignment horizontal="center" vertical="center"/>
    </xf>
    <xf numFmtId="168" fontId="13" fillId="0" borderId="0" xfId="7" applyNumberFormat="1" applyFont="1" applyFill="1" applyBorder="1" applyAlignment="1">
      <alignment horizontal="center" vertical="center"/>
    </xf>
    <xf numFmtId="0" fontId="5" fillId="2" borderId="0" xfId="4" applyFont="1" applyFill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4" fontId="4" fillId="4" borderId="5" xfId="5" applyFont="1" applyFill="1" applyBorder="1" applyAlignment="1">
      <alignment horizontal="center" vertical="center"/>
    </xf>
    <xf numFmtId="164" fontId="4" fillId="4" borderId="3" xfId="5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8">
    <cellStyle name="Date" xfId="5" xr:uid="{CC22B1D9-A472-4897-BAE9-A60BF2077423}"/>
    <cellStyle name="Heading 1" xfId="2" builtinId="16"/>
    <cellStyle name="Heading 4" xfId="3" builtinId="19"/>
    <cellStyle name="Hours" xfId="7" xr:uid="{DA1E3E6E-0621-4214-8382-34E5B378C379}"/>
    <cellStyle name="Hyperlink" xfId="4" builtinId="8"/>
    <cellStyle name="Normal" xfId="0" builtinId="0"/>
    <cellStyle name="Time" xfId="6" xr:uid="{290E73C0-2AD6-4DF8-A088-2E995E948594}"/>
    <cellStyle name="Title" xfId="1" builtinId="15"/>
  </cellStyles>
  <dxfs count="419"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8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numFmt numFmtId="166" formatCode="ddd\,\ dd\ 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9" tint="-0.499984740745262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theme="1"/>
      </font>
      <fill>
        <patternFill>
          <fgColor theme="9" tint="0.59996337778862885"/>
          <bgColor theme="9" tint="0.59996337778862885"/>
        </patternFill>
      </fill>
      <border>
        <left/>
        <right/>
        <top style="medium">
          <color theme="9" tint="-0.24994659260841701"/>
        </top>
        <bottom style="medium">
          <color theme="9" tint="-0.24994659260841701"/>
        </bottom>
        <vertical style="medium">
          <color theme="9" tint="-0.24994659260841701"/>
        </vertical>
      </border>
    </dxf>
    <dxf>
      <font>
        <color theme="1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-0.24994659260841701"/>
        </top>
        <bottom style="thin">
          <color theme="9" tint="-0.24994659260841701"/>
        </bottom>
        <vertical style="medium">
          <color theme="9" tint="-0.24994659260841701"/>
        </vertical>
        <horizontal style="thin">
          <color theme="9" tint="-0.24994659260841701"/>
        </horizontal>
      </border>
    </dxf>
  </dxfs>
  <tableStyles count="1" defaultTableStyle="TableStyleMedium2" defaultPivotStyle="PivotStyleLight16">
    <tableStyle name="Time Sheet" pivot="0" count="2" xr9:uid="{550FBC18-D050-4A0D-876A-86FD657BA9FA}">
      <tableStyleElement type="wholeTable" dxfId="418"/>
      <tableStyleElement type="headerRow" dxfId="4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F194A-F191-40E3-BCC8-0F441A753DAA}" name="TimeSheet" displayName="TimeSheet" ref="B8:G15" headerRowDxfId="416" dataDxfId="415" totalsRowDxfId="414">
  <autoFilter ref="B8:G15" xr:uid="{00000000-0009-0000-0100-000001000000}"/>
  <tableColumns count="6">
    <tableColumn id="1" xr3:uid="{EF2D2142-605E-450A-8F22-E5848FF0E315}" name="Dates(s)" totalsRowLabel="Total" dataDxfId="413" totalsRowDxfId="412" dataCellStyle="Date"/>
    <tableColumn id="2" xr3:uid="{3A82142C-D8FE-4FD9-AA8B-0784992D4C01}" name="Start Time" dataDxfId="411" totalsRowDxfId="410" dataCellStyle="Time"/>
    <tableColumn id="3" xr3:uid="{6BC6F2F2-F6A7-4156-B103-E925F8F9BC3E}" name="Finish Time" dataDxfId="409" totalsRowDxfId="408" dataCellStyle="Time"/>
    <tableColumn id="4" xr3:uid="{162C7EE9-F8C9-48AE-B108-2A3C1F7A25F6}" name="Contracted Hours" dataDxfId="407" totalsRowDxfId="406" dataCellStyle="Time"/>
    <tableColumn id="5" xr3:uid="{AA9F4694-2C20-4D39-A323-0A42381ED735}" name="Additional Hours" dataDxfId="405" totalsRowDxfId="404" dataCellStyle="Time"/>
    <tableColumn id="6" xr3:uid="{AAB294D7-FE76-432D-9593-E601FA605792}" name="Total Hours Worked" totalsRowFunction="sum" dataDxfId="403" totalsRowDxfId="402" dataCellStyle="Hours">
      <calculatedColumnFormula>TimeSheet[[#This Row],[Contracted Hours]]+TimeSheet[[#This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355649A5-B352-459B-924D-B2CC8B7E8AA0}" name="TimeSheet72" displayName="TimeSheet72" ref="B8:G15" headerRowDxfId="401" dataDxfId="400" totalsRowDxfId="399">
  <autoFilter ref="B8:G15" xr:uid="{00000000-0009-0000-0100-000001000000}"/>
  <tableColumns count="6">
    <tableColumn id="1" xr3:uid="{5951D0A3-D5F1-43C7-BBB1-6952661599EF}" name="Dates(s)" totalsRowLabel="Total" dataDxfId="398" totalsRowDxfId="397" dataCellStyle="Date"/>
    <tableColumn id="2" xr3:uid="{EE960702-5790-48D4-B227-A09B44390E06}" name="Start Time" dataDxfId="396" totalsRowDxfId="395" dataCellStyle="Time"/>
    <tableColumn id="3" xr3:uid="{E8C25B9F-7328-4005-984C-2F76AA54588B}" name="Finish Time" dataDxfId="394" totalsRowDxfId="393" dataCellStyle="Time"/>
    <tableColumn id="4" xr3:uid="{CF99C1A9-0114-4A94-8C68-A13C7B2D1F04}" name="Contracted Hours" dataDxfId="392" totalsRowDxfId="391" dataCellStyle="Time"/>
    <tableColumn id="5" xr3:uid="{0AFDABF7-256E-4379-B81C-85C7B1EA5E41}" name="Additional Hours" dataDxfId="390" totalsRowDxfId="389" dataCellStyle="Time"/>
    <tableColumn id="6" xr3:uid="{4EB9E1B4-D258-4F53-BB4E-15B5D0A977AB}" name="Total Hours Worked" totalsRowFunction="sum" dataDxfId="388" totalsRowDxfId="387" dataCellStyle="Hours">
      <calculatedColumnFormula>TimeSheet72[[#This Row],[Contracted Hours]]+TimeSheet72[[#This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8DAB8ED0-5DBB-4C84-B5D7-E995299D122F}" name="TimeSheet73" displayName="TimeSheet73" ref="B8:G15" headerRowDxfId="386" dataDxfId="385" totalsRowDxfId="384">
  <autoFilter ref="B8:G15" xr:uid="{00000000-0009-0000-0100-000001000000}"/>
  <tableColumns count="6">
    <tableColumn id="1" xr3:uid="{EFC52729-BC42-4A88-9DAA-00B7D2E779F1}" name="Dates(s)" totalsRowLabel="Total" dataDxfId="383" totalsRowDxfId="382" dataCellStyle="Date"/>
    <tableColumn id="2" xr3:uid="{0A3EC946-05FF-4DFB-9EBD-FFCEC25ADCF8}" name="Start Time" dataDxfId="381" totalsRowDxfId="380" dataCellStyle="Time"/>
    <tableColumn id="3" xr3:uid="{908EB072-4576-4297-BA4F-F705E0118502}" name="Finish Time" dataDxfId="379" totalsRowDxfId="378" dataCellStyle="Time"/>
    <tableColumn id="4" xr3:uid="{C5A7B029-94DB-47FD-A180-A80B8239A2A2}" name="Contracted Hours" dataDxfId="377" totalsRowDxfId="376" dataCellStyle="Time"/>
    <tableColumn id="5" xr3:uid="{852D36F4-76EF-4700-B7A4-A10AFA071656}" name="Additional Hours" dataDxfId="375" totalsRowDxfId="374" dataCellStyle="Time"/>
    <tableColumn id="6" xr3:uid="{EF28A4F6-16B6-42B7-862E-2A99768B560B}" name="Total Hours Worked" totalsRowFunction="sum" dataDxfId="373" totalsRowDxfId="372" dataCellStyle="Hours">
      <calculatedColumnFormula>TimeSheet72[[#This Row],[Contracted Hours]]+TimeSheet72[[#This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242FCDE-6F48-4B37-8046-CC867691B98B}" name="TimeSheet74" displayName="TimeSheet74" ref="B8:G15" headerRowDxfId="371" dataDxfId="370" totalsRowDxfId="369">
  <autoFilter ref="B8:G15" xr:uid="{00000000-0009-0000-0100-000001000000}"/>
  <tableColumns count="6">
    <tableColumn id="1" xr3:uid="{0D1C4170-248E-4325-A0D2-E166261CE4B7}" name="Dates(s)" totalsRowLabel="Total" dataDxfId="368" totalsRowDxfId="367" dataCellStyle="Date"/>
    <tableColumn id="2" xr3:uid="{2B7E35E2-7F94-4350-BA82-F41C62AB0445}" name="Start Time" dataDxfId="366" totalsRowDxfId="365" dataCellStyle="Time"/>
    <tableColumn id="3" xr3:uid="{23540D3B-17A5-4A76-8F67-952F008FA9E9}" name="Finish Time" dataDxfId="364" totalsRowDxfId="363" dataCellStyle="Time"/>
    <tableColumn id="4" xr3:uid="{42852CCD-2268-4334-ACBB-20671995DCA8}" name="Contracted Hours" dataDxfId="362" totalsRowDxfId="361" dataCellStyle="Time"/>
    <tableColumn id="5" xr3:uid="{D6A0EACE-7EE7-4461-8713-EA25CFBAB5CC}" name="Additional Hours" dataDxfId="360" totalsRowDxfId="359" dataCellStyle="Time"/>
    <tableColumn id="6" xr3:uid="{0748E481-9A8E-4443-AA92-537210D4D326}" name="Total Hours Worked" totalsRowFunction="sum" dataDxfId="358" totalsRowDxfId="357" dataCellStyle="Hours">
      <calculatedColumnFormula>TimeSheet72[[#This Row],[Contracted Hours]]+TimeSheet72[[#This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1D6DED14-046D-4802-962B-D23203E2FB8F}" name="TimeSheet75" displayName="TimeSheet75" ref="B8:G15" headerRowDxfId="356" dataDxfId="355" totalsRowDxfId="354">
  <autoFilter ref="B8:G15" xr:uid="{00000000-0009-0000-0100-000001000000}"/>
  <tableColumns count="6">
    <tableColumn id="1" xr3:uid="{D50B9965-B8F3-4A0F-91C5-05C8236F1EA0}" name="Dates(s)" totalsRowLabel="Total" dataDxfId="353" totalsRowDxfId="352" dataCellStyle="Date"/>
    <tableColumn id="2" xr3:uid="{E3CD9F5A-28DA-441B-9471-6DABACC35F9B}" name="Start Time" dataDxfId="351" totalsRowDxfId="350" dataCellStyle="Time"/>
    <tableColumn id="3" xr3:uid="{1483FD55-5A76-4469-AB6A-0DE6381CA51D}" name="Finish Time" dataDxfId="349" totalsRowDxfId="348" dataCellStyle="Time"/>
    <tableColumn id="4" xr3:uid="{21499063-91F3-4B4C-ABF4-12CBE2C21436}" name="Contracted Hours" dataDxfId="347" totalsRowDxfId="346" dataCellStyle="Time"/>
    <tableColumn id="5" xr3:uid="{C965F83A-D5C5-4AD1-AEE4-D48A9150CECE}" name="Additional Hours" dataDxfId="345" totalsRowDxfId="344" dataCellStyle="Time"/>
    <tableColumn id="6" xr3:uid="{1FF58660-42E0-4345-926A-298BD5FE5423}" name="Total Hours Worked" totalsRowFunction="sum" dataDxfId="343" totalsRowDxfId="342" dataCellStyle="Hours">
      <calculatedColumnFormula>TimeSheet75[[#This Row],[Contracted Hours]]+TimeSheet75[[#This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DBD55244-1E4E-42FE-903B-325783EE10C3}" name="TimeSheet76" displayName="TimeSheet76" ref="B8:G15" headerRowDxfId="341" dataDxfId="340" totalsRowDxfId="339">
  <autoFilter ref="B8:G15" xr:uid="{00000000-0009-0000-0100-000001000000}"/>
  <tableColumns count="6">
    <tableColumn id="1" xr3:uid="{821220BC-4B05-41D2-AFA8-3E67A4EFAB67}" name="Dates(s)" totalsRowLabel="Total" dataDxfId="338" totalsRowDxfId="337" dataCellStyle="Date"/>
    <tableColumn id="2" xr3:uid="{C491FFE5-0668-4D9E-99CF-0284C871D532}" name="Start Time" dataDxfId="336" totalsRowDxfId="335" dataCellStyle="Time"/>
    <tableColumn id="3" xr3:uid="{FE42FCA5-F2F7-480D-9460-5E37C9B50254}" name="Finish Time" dataDxfId="334" totalsRowDxfId="333" dataCellStyle="Time"/>
    <tableColumn id="4" xr3:uid="{4E16E52C-B18B-4895-8E61-92267987F608}" name="Contracted Hours" dataDxfId="332" totalsRowDxfId="331" dataCellStyle="Time"/>
    <tableColumn id="5" xr3:uid="{5DB46DFA-CF07-4EF2-B70A-BD7EE84B417F}" name="Additional Hours" dataDxfId="330" totalsRowDxfId="329" dataCellStyle="Time"/>
    <tableColumn id="6" xr3:uid="{A8CF1C7C-6C92-4D6D-BE5E-6E31460C6D7C}" name="Total Hours Worked" totalsRowFunction="sum" dataDxfId="328" totalsRowDxfId="327" dataCellStyle="Hours">
      <calculatedColumnFormula>TimeSheet72[[#This Row],[Contracted Hours]]+TimeSheet72[[#This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BE44FA35-F0D0-4B82-80F1-59B32F9FB9A1}" name="TimeSheet77" displayName="TimeSheet77" ref="B8:G15" headerRowDxfId="326" dataDxfId="325" totalsRowDxfId="324">
  <autoFilter ref="B8:G15" xr:uid="{00000000-0009-0000-0100-000001000000}"/>
  <tableColumns count="6">
    <tableColumn id="1" xr3:uid="{ACEFBDFE-D4BF-45D6-B9F0-E1037C4129D2}" name="Dates(s)" totalsRowLabel="Total" dataDxfId="323" totalsRowDxfId="322" dataCellStyle="Date"/>
    <tableColumn id="2" xr3:uid="{828B3509-508D-4BC0-8657-E0C92F95CE5E}" name="Start Time" dataDxfId="321" totalsRowDxfId="320" dataCellStyle="Time"/>
    <tableColumn id="3" xr3:uid="{2C646708-1FF7-45E5-ACE3-799E149B6F22}" name="Finish Time" dataDxfId="319" totalsRowDxfId="318" dataCellStyle="Time"/>
    <tableColumn id="4" xr3:uid="{63BD8172-D28A-436A-BB42-E4FA087B6FFB}" name="Contracted Hours" dataDxfId="317" totalsRowDxfId="316" dataCellStyle="Time"/>
    <tableColumn id="5" xr3:uid="{9BC8F89E-12D7-430A-85EC-8FBBF10ECE9F}" name="Additional Hours" dataDxfId="315" totalsRowDxfId="314" dataCellStyle="Time"/>
    <tableColumn id="6" xr3:uid="{648D1572-5A3A-4345-A8C5-4E9CB149082B}" name="Total Hours Worked" totalsRowFunction="sum" dataDxfId="313" totalsRowDxfId="312" dataCellStyle="Hours">
      <calculatedColumnFormula>TimeSheet72[[#This Row],[Contracted Hours]]+TimeSheet72[[#This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EAA092B8-6905-45AC-9F81-53985C54A23D}" name="TimeSheet78" displayName="TimeSheet78" ref="B8:G15" headerRowDxfId="311" dataDxfId="310" totalsRowDxfId="309">
  <autoFilter ref="B8:G15" xr:uid="{00000000-0009-0000-0100-000001000000}"/>
  <tableColumns count="6">
    <tableColumn id="1" xr3:uid="{D177AA4E-0B05-4F17-9A68-4ABD06ECBBCE}" name="Dates(s)" totalsRowLabel="Total" dataDxfId="308" totalsRowDxfId="307" dataCellStyle="Date"/>
    <tableColumn id="2" xr3:uid="{21528B76-BDB9-416F-AB8E-059C3DB4A314}" name="Start Time" dataDxfId="306" totalsRowDxfId="305" dataCellStyle="Time"/>
    <tableColumn id="3" xr3:uid="{BCFB97D6-CDDC-42E0-B436-DD17B6E749A0}" name="Finish Time" dataDxfId="304" totalsRowDxfId="303" dataCellStyle="Time"/>
    <tableColumn id="4" xr3:uid="{68A286B7-4F83-4C7C-9AD2-393C154AB993}" name="Contracted Hours" dataDxfId="302" totalsRowDxfId="301" dataCellStyle="Time"/>
    <tableColumn id="5" xr3:uid="{0700F5AA-0565-4C79-A64A-F4CEDA62FB8E}" name="Additional Hours" dataDxfId="300" totalsRowDxfId="299" dataCellStyle="Time"/>
    <tableColumn id="6" xr3:uid="{F88259C8-DE79-428B-A71F-54F4FA7E4E67}" name="Total Hours Worked" totalsRowFunction="sum" dataDxfId="298" totalsRowDxfId="297" dataCellStyle="Hours">
      <calculatedColumnFormula>TimeSheet78[[#This Row],[Contracted Hours]]+TimeSheet78[[#This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402752CD-7093-404C-B674-B8079FD368C4}" name="TimeSheet79" displayName="TimeSheet79" ref="B8:G15" headerRowDxfId="296" dataDxfId="295" totalsRowDxfId="294">
  <autoFilter ref="B8:G15" xr:uid="{00000000-0009-0000-0100-000001000000}"/>
  <tableColumns count="6">
    <tableColumn id="1" xr3:uid="{32512EBE-0D73-4BB6-B086-05466B42C8EA}" name="Dates(s)" totalsRowLabel="Total" dataDxfId="293" totalsRowDxfId="292" dataCellStyle="Date"/>
    <tableColumn id="2" xr3:uid="{97D34AAE-E112-4155-8E6A-0E0EACD6B458}" name="Start Time" dataDxfId="291" totalsRowDxfId="290" dataCellStyle="Time"/>
    <tableColumn id="3" xr3:uid="{58FB2A12-70D6-42AF-8BF5-24E6652D5C0A}" name="Finish Time" dataDxfId="289" totalsRowDxfId="288" dataCellStyle="Time"/>
    <tableColumn id="4" xr3:uid="{085AD41A-F210-47AA-9917-D90F92335BBB}" name="Contracted Hours" dataDxfId="287" totalsRowDxfId="286" dataCellStyle="Time"/>
    <tableColumn id="5" xr3:uid="{3306AAF4-98A3-48C7-A60A-47BBCFC7902A}" name="Additional Hours" dataDxfId="285" totalsRowDxfId="284" dataCellStyle="Time"/>
    <tableColumn id="6" xr3:uid="{7F0138D6-1AA9-481E-97C5-DE54DE74F31B}" name="Total Hours Worked" totalsRowFunction="sum" dataDxfId="283" totalsRowDxfId="282" dataCellStyle="Hours">
      <calculatedColumnFormula>TimeSheet79[[#This Row],[Contracted Hours]]+TimeSheet79[[#This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A5649F85-792C-4011-AD43-7C8370D20EA8}" name="TimeSheet80" displayName="TimeSheet80" ref="B8:G15" headerRowDxfId="281" dataDxfId="280" totalsRowDxfId="279">
  <autoFilter ref="B8:G15" xr:uid="{00000000-0009-0000-0100-000001000000}"/>
  <tableColumns count="6">
    <tableColumn id="1" xr3:uid="{D515C488-A32F-4D7E-9374-B9722F5CD063}" name="Dates(s)" totalsRowLabel="Total" dataDxfId="278" totalsRowDxfId="277" dataCellStyle="Date"/>
    <tableColumn id="2" xr3:uid="{5D4887F7-DEDB-4405-98E9-C337E09124F8}" name="Start Time" dataDxfId="276" totalsRowDxfId="275" dataCellStyle="Time"/>
    <tableColumn id="3" xr3:uid="{7A4EA0B4-11A9-4C58-885E-DECFE3F05E95}" name="Finish Time" dataDxfId="274" totalsRowDxfId="273" dataCellStyle="Time"/>
    <tableColumn id="4" xr3:uid="{BD200D16-A532-4202-9B93-478BA2AC9B10}" name="Contracted Hours" dataDxfId="272" totalsRowDxfId="271" dataCellStyle="Time"/>
    <tableColumn id="5" xr3:uid="{4439B23A-F261-4BC3-B37D-04B581A93E71}" name="Additional Hours" dataDxfId="270" totalsRowDxfId="269" dataCellStyle="Time"/>
    <tableColumn id="6" xr3:uid="{D9D767D1-1BA0-4E64-A5A0-18BC00CECCBC}" name="Total Hours Worked" totalsRowFunction="sum" dataDxfId="268" totalsRowDxfId="267" dataCellStyle="Hours">
      <calculatedColumnFormula>TimeSheet80[[#This Row],[Contracted Hours]]+TimeSheet80[[#This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30267BE-389D-4D7A-9E5F-4993F62117B4}" name="TimeSheet81" displayName="TimeSheet81" ref="B8:G15" headerRowDxfId="266" dataDxfId="265" totalsRowDxfId="264">
  <autoFilter ref="B8:G15" xr:uid="{00000000-0009-0000-0100-000001000000}"/>
  <tableColumns count="6">
    <tableColumn id="1" xr3:uid="{7CEA64BB-91DE-45CC-B795-34C479EF390E}" name="Dates(s)" totalsRowLabel="Total" dataDxfId="263" totalsRowDxfId="262" dataCellStyle="Date"/>
    <tableColumn id="2" xr3:uid="{A1EC43F7-054D-42B6-8DB2-E52B133EF0CC}" name="Start Time" dataDxfId="261" totalsRowDxfId="260" dataCellStyle="Time"/>
    <tableColumn id="3" xr3:uid="{9A8B0323-5713-491C-BE1E-3D6085A89033}" name="Finish Time" dataDxfId="259" totalsRowDxfId="258" dataCellStyle="Time"/>
    <tableColumn id="4" xr3:uid="{AA5D8682-41A5-4D9C-B1D1-71F3E39B1658}" name="Contracted Hours" dataDxfId="257" totalsRowDxfId="256" dataCellStyle="Time"/>
    <tableColumn id="5" xr3:uid="{5A1F7153-45D7-4A8F-9B03-2851C9D05723}" name="Additional Hours" dataDxfId="255" totalsRowDxfId="254" dataCellStyle="Time"/>
    <tableColumn id="6" xr3:uid="{066B1B6A-7A3F-403F-9C00-2A1F02941C4D}" name="Total Hours Worked" totalsRowFunction="sum" dataDxfId="253" totalsRowDxfId="252" dataCellStyle="Hours">
      <calculatedColumnFormula>TimeSheet81[[#This Row],[Contracted Hours]]+TimeSheet81[[#This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331A7009-6E8C-4EA3-8460-913ACDE0F5A5}" name="TimeSheet82" displayName="TimeSheet82" ref="B8:G15" headerRowDxfId="251" dataDxfId="250" totalsRowDxfId="249">
  <autoFilter ref="B8:G15" xr:uid="{00000000-0009-0000-0100-000001000000}"/>
  <tableColumns count="6">
    <tableColumn id="1" xr3:uid="{8D6841AE-5B54-4D73-94A7-224067CAE983}" name="Dates(s)" totalsRowLabel="Total" dataDxfId="248" totalsRowDxfId="247" dataCellStyle="Date"/>
    <tableColumn id="2" xr3:uid="{FB6F2C1C-CC62-4937-903D-6838869A311C}" name="Start Time" dataDxfId="246" totalsRowDxfId="245" dataCellStyle="Time"/>
    <tableColumn id="3" xr3:uid="{D6D9463F-F2F4-4755-AEB0-683DA416945F}" name="Finish Time" dataDxfId="244" totalsRowDxfId="243" dataCellStyle="Time"/>
    <tableColumn id="4" xr3:uid="{F14EEBD4-217C-4968-A66D-4C258CB9D6C5}" name="Contracted Hours" dataDxfId="242" totalsRowDxfId="241" dataCellStyle="Time"/>
    <tableColumn id="5" xr3:uid="{44716308-6F93-40C5-BA9E-E91B9B46A5D4}" name="Additional Hours" dataDxfId="240" totalsRowDxfId="239" dataCellStyle="Time"/>
    <tableColumn id="6" xr3:uid="{1A190423-CB0F-4B42-8254-6FB8D6C81BA8}" name="Total Hours Worked" totalsRowFunction="sum" dataDxfId="238" totalsRowDxfId="237" dataCellStyle="Hours">
      <calculatedColumnFormula>TimeSheet82[[#This Row],[Contracted Hours]]+TimeSheet82[[#This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94F2AEC-AD33-49E1-AFEB-416A4701EE58}" name="TimeSheet83" displayName="TimeSheet83" ref="B8:G15" headerRowDxfId="236" dataDxfId="235" totalsRowDxfId="234">
  <autoFilter ref="B8:G15" xr:uid="{00000000-0009-0000-0100-000001000000}"/>
  <tableColumns count="6">
    <tableColumn id="1" xr3:uid="{817087DB-26FB-4566-856A-28E799A86941}" name="Dates(s)" totalsRowLabel="Total" dataDxfId="233" totalsRowDxfId="232" dataCellStyle="Date"/>
    <tableColumn id="2" xr3:uid="{0B5FACDF-8D0D-45FF-B07F-F56354180A25}" name="Start Time" dataDxfId="231" totalsRowDxfId="230" dataCellStyle="Time"/>
    <tableColumn id="3" xr3:uid="{770E9131-16AF-4E5D-B96B-3008D5AF383E}" name="Finish Time" dataDxfId="229" totalsRowDxfId="228" dataCellStyle="Time"/>
    <tableColumn id="4" xr3:uid="{25806A9D-5071-4667-B861-AF5385F96C63}" name="Contracted Hours" dataDxfId="227" totalsRowDxfId="226" dataCellStyle="Time"/>
    <tableColumn id="5" xr3:uid="{45F0CB83-2BAC-4F99-9215-1F7ACCA8D06D}" name="Additional Hours" dataDxfId="225" totalsRowDxfId="224" dataCellStyle="Time"/>
    <tableColumn id="6" xr3:uid="{7B8B4633-1A20-4899-B29C-0159C6EFC81A}" name="Total Hours Worked" totalsRowFunction="sum" dataDxfId="223" totalsRowDxfId="222" dataCellStyle="Hours">
      <calculatedColumnFormula>TimeSheet83[[#This Row],[Contracted Hours]]+TimeSheet83[[#This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CBCD66D7-8F9A-4020-9BD4-798867EAEA12}" name="TimeSheet84" displayName="TimeSheet84" ref="B8:G15" headerRowDxfId="221" dataDxfId="220" totalsRowDxfId="219">
  <autoFilter ref="B8:G15" xr:uid="{00000000-0009-0000-0100-000001000000}"/>
  <tableColumns count="6">
    <tableColumn id="1" xr3:uid="{7A8A3CA8-73BB-4D0B-AD63-5AB3F8CBC289}" name="Dates(s)" totalsRowLabel="Total" dataDxfId="218" totalsRowDxfId="217" dataCellStyle="Date"/>
    <tableColumn id="2" xr3:uid="{C9CAEBF4-8F89-4318-A0C8-97B8FCA8726E}" name="Start Time" dataDxfId="216" totalsRowDxfId="215" dataCellStyle="Time"/>
    <tableColumn id="3" xr3:uid="{E1735AA7-510E-4F6A-8BEA-976F33181FAB}" name="Finish Time" dataDxfId="214" totalsRowDxfId="213" dataCellStyle="Time"/>
    <tableColumn id="4" xr3:uid="{D04AAE8A-E910-4375-8DF2-942405EFA481}" name="Contracted Hours" dataDxfId="212" totalsRowDxfId="211" dataCellStyle="Time"/>
    <tableColumn id="5" xr3:uid="{A96B625F-3621-4F44-992A-DCAFC5A80534}" name="Additional Hours" dataDxfId="210" totalsRowDxfId="209" dataCellStyle="Time"/>
    <tableColumn id="6" xr3:uid="{6A02D78C-D046-45CA-92B9-C48592AADE8E}" name="Total Hours Worked" totalsRowFunction="sum" dataDxfId="208" totalsRowDxfId="207" dataCellStyle="Hours">
      <calculatedColumnFormula>TimeSheet84[[#This Row],[Contracted Hours]]+TimeSheet84[[#This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54B1B9A0-3A62-4ABD-920B-25905D2321D4}" name="TimeSheet85" displayName="TimeSheet85" ref="B8:G15" headerRowDxfId="206" dataDxfId="205" totalsRowDxfId="204">
  <autoFilter ref="B8:G15" xr:uid="{00000000-0009-0000-0100-000001000000}"/>
  <tableColumns count="6">
    <tableColumn id="1" xr3:uid="{66762F27-26F5-4033-BA14-F216E8DA25D3}" name="Dates(s)" totalsRowLabel="Total" dataDxfId="203" totalsRowDxfId="202" dataCellStyle="Date"/>
    <tableColumn id="2" xr3:uid="{08536683-5916-407D-9622-D7EFBA088ED5}" name="Start Time" dataDxfId="201" totalsRowDxfId="200" dataCellStyle="Time"/>
    <tableColumn id="3" xr3:uid="{D6D1914C-8388-45CD-B6F4-67C07D09D091}" name="Finish Time" dataDxfId="199" totalsRowDxfId="198" dataCellStyle="Time"/>
    <tableColumn id="4" xr3:uid="{E0E57A97-BD16-434B-9E9E-89042958A19A}" name="Contracted Hours" dataDxfId="197" totalsRowDxfId="196" dataCellStyle="Time"/>
    <tableColumn id="5" xr3:uid="{95CB61DB-BAAF-49DE-A52E-305A412EF56E}" name="Additional Hours" dataDxfId="195" totalsRowDxfId="194" dataCellStyle="Time"/>
    <tableColumn id="6" xr3:uid="{C1899EA6-5746-4C5E-8AD9-4CD2A1732A1C}" name="Total Hours Worked" totalsRowFunction="sum" dataDxfId="193" totalsRowDxfId="192" dataCellStyle="Hours">
      <calculatedColumnFormula>TimeSheet85[[#This Row],[Contracted Hours]]+TimeSheet85[[#This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96195E52-EE07-47B8-BD00-CC6C10EAEA53}" name="TimeSheet86" displayName="TimeSheet86" ref="B8:G15" headerRowDxfId="191" dataDxfId="190" totalsRowDxfId="189">
  <autoFilter ref="B8:G15" xr:uid="{00000000-0009-0000-0100-000001000000}"/>
  <tableColumns count="6">
    <tableColumn id="1" xr3:uid="{1D69AEA4-CD95-46A1-AB4F-6A261616B360}" name="Dates(s)" totalsRowLabel="Total" dataDxfId="188" totalsRowDxfId="187" dataCellStyle="Date"/>
    <tableColumn id="2" xr3:uid="{5FE5C3A1-B5DB-41B3-80F8-857EB0512C08}" name="Start Time" dataDxfId="186" totalsRowDxfId="185" dataCellStyle="Time"/>
    <tableColumn id="3" xr3:uid="{CD584379-9284-4F49-9F8E-08190B119524}" name="Finish Time" dataDxfId="184" totalsRowDxfId="183" dataCellStyle="Time"/>
    <tableColumn id="4" xr3:uid="{CF80DAD7-09FF-42B6-84FB-C45BC1E00123}" name="Contracted Hours" dataDxfId="182" totalsRowDxfId="181" dataCellStyle="Time"/>
    <tableColumn id="5" xr3:uid="{B7967CA5-9512-4463-83ED-9DE733E52050}" name="Additional Hours" dataDxfId="180" totalsRowDxfId="179" dataCellStyle="Time"/>
    <tableColumn id="6" xr3:uid="{3B6F01EC-FEFC-4731-A5D3-8E7D1F04086A}" name="Total Hours Worked" totalsRowFunction="sum" dataDxfId="178" totalsRowDxfId="177" dataCellStyle="Hours">
      <calculatedColumnFormula>TimeSheet86[[#This Row],[Contracted Hours]]+TimeSheet86[[#This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C8F2AE35-E6BE-485C-AC2A-2E061CB76D5A}" name="TimeSheet87" displayName="TimeSheet87" ref="B8:G15" headerRowDxfId="176" dataDxfId="175" totalsRowDxfId="174">
  <autoFilter ref="B8:G15" xr:uid="{00000000-0009-0000-0100-000001000000}"/>
  <tableColumns count="6">
    <tableColumn id="1" xr3:uid="{B8B83AB8-EF1F-4CA6-BD3F-947EE7904A26}" name="Dates(s)" totalsRowLabel="Total" dataDxfId="173" totalsRowDxfId="172" dataCellStyle="Date"/>
    <tableColumn id="2" xr3:uid="{A30080EF-4B95-431E-B8AC-6208797A9FA4}" name="Start Time" dataDxfId="171" totalsRowDxfId="170" dataCellStyle="Time"/>
    <tableColumn id="3" xr3:uid="{5CDA3EE9-16C8-4A90-8FB2-2A7CE3ADB780}" name="Finish Time" dataDxfId="169" totalsRowDxfId="168" dataCellStyle="Time"/>
    <tableColumn id="4" xr3:uid="{846879CC-E675-44F8-958C-6C1E3992D32E}" name="Contracted Hours" dataDxfId="167" totalsRowDxfId="166" dataCellStyle="Time"/>
    <tableColumn id="5" xr3:uid="{F38FEDF2-C9A8-400F-8965-326EFFF584D5}" name="Additional Hours" dataDxfId="165" totalsRowDxfId="164" dataCellStyle="Time"/>
    <tableColumn id="6" xr3:uid="{06B8E0B9-02C7-4E1A-BD6B-41F7F19BDB2C}" name="Total Hours Worked" totalsRowFunction="sum" dataDxfId="163" totalsRowDxfId="162" dataCellStyle="Hours">
      <calculatedColumnFormula>TimeSheet87[[#This Row],[Contracted Hours]]+TimeSheet87[[#This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846B69CE-61D9-4026-A17A-6A920FD5A1A5}" name="TimeSheet88" displayName="TimeSheet88" ref="B8:G15" headerRowDxfId="161" dataDxfId="160" totalsRowDxfId="159">
  <autoFilter ref="B8:G15" xr:uid="{00000000-0009-0000-0100-000001000000}"/>
  <tableColumns count="6">
    <tableColumn id="1" xr3:uid="{3A10F84D-B753-4A19-B809-2A5ACBBCBEF1}" name="Dates(s)" totalsRowLabel="Total" dataDxfId="158" totalsRowDxfId="157" dataCellStyle="Date"/>
    <tableColumn id="2" xr3:uid="{BEB28188-D26D-4F99-A8AF-953BB66C8345}" name="Start Time" dataDxfId="156" totalsRowDxfId="155" dataCellStyle="Time"/>
    <tableColumn id="3" xr3:uid="{4AF0A69E-FBE6-4092-A937-07C8968A926D}" name="Finish Time" dataDxfId="154" totalsRowDxfId="153" dataCellStyle="Time"/>
    <tableColumn id="4" xr3:uid="{796DD35F-113F-4E0E-87DA-B04951ABD0AB}" name="Contracted Hours" dataDxfId="152" totalsRowDxfId="151" dataCellStyle="Time"/>
    <tableColumn id="5" xr3:uid="{4B5972A4-628D-4DCC-A9AE-2843453EA087}" name="Additional Hours" dataDxfId="150" totalsRowDxfId="149" dataCellStyle="Time"/>
    <tableColumn id="6" xr3:uid="{D46831C8-AAF2-48A8-9727-C40E3E06E63C}" name="Total Hours Worked" totalsRowFunction="sum" dataDxfId="148" totalsRowDxfId="147" dataCellStyle="Hours">
      <calculatedColumnFormula>TimeSheet88[[#This Row],[Contracted Hours]]+TimeSheet88[[#This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2CB6C82D-C17E-4803-A62A-F05883B0DB59}" name="TimeSheet89" displayName="TimeSheet89" ref="B8:G15" headerRowDxfId="146" dataDxfId="145" totalsRowDxfId="144">
  <autoFilter ref="B8:G15" xr:uid="{00000000-0009-0000-0100-000001000000}"/>
  <tableColumns count="6">
    <tableColumn id="1" xr3:uid="{0498BE19-2D61-4AEC-BAC1-EED889A70BE9}" name="Dates(s)" totalsRowLabel="Total" dataDxfId="143" totalsRowDxfId="142" dataCellStyle="Date"/>
    <tableColumn id="2" xr3:uid="{34DCD494-04BD-4AFD-AB61-0D4D3E96C306}" name="Start Time" dataDxfId="141" totalsRowDxfId="140" dataCellStyle="Time"/>
    <tableColumn id="3" xr3:uid="{72953E40-3C5D-44D9-8084-14101F29649E}" name="Finish Time" dataDxfId="139" totalsRowDxfId="138" dataCellStyle="Time"/>
    <tableColumn id="4" xr3:uid="{0FFE65A9-9686-4336-9C2C-2A3C72A9B2FB}" name="Contracted Hours" dataDxfId="137" totalsRowDxfId="136" dataCellStyle="Time"/>
    <tableColumn id="5" xr3:uid="{03180C1E-4867-41F5-A30C-23D463EC9F1A}" name="Additional Hours" dataDxfId="135" totalsRowDxfId="134" dataCellStyle="Time"/>
    <tableColumn id="6" xr3:uid="{9A0D8223-8EDA-4FC2-AB04-26F1F3BC42C4}" name="Total Hours Worked" totalsRowFunction="sum" dataDxfId="133" totalsRowDxfId="132" dataCellStyle="Hours">
      <calculatedColumnFormula>TimeSheet89[[#This Row],[Contracted Hours]]+TimeSheet89[[#This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9FEA3AD3-0F66-4394-9F53-35F51D4E7AC9}" name="TimeSheet90" displayName="TimeSheet90" ref="B8:G15" headerRowDxfId="131" dataDxfId="130" totalsRowDxfId="129">
  <autoFilter ref="B8:G15" xr:uid="{00000000-0009-0000-0100-000001000000}"/>
  <tableColumns count="6">
    <tableColumn id="1" xr3:uid="{F6F02CD5-4E1A-47E0-B5DD-A4FD649BB373}" name="Dates(s)" totalsRowLabel="Total" dataDxfId="128" totalsRowDxfId="127" dataCellStyle="Date"/>
    <tableColumn id="2" xr3:uid="{98475B0D-C905-4F17-ADA9-88D40695B967}" name="Start Time" dataDxfId="126" totalsRowDxfId="125" dataCellStyle="Time"/>
    <tableColumn id="3" xr3:uid="{1674E3E1-9CC9-4C89-9501-AEAF393C0ACA}" name="Finish Time" dataDxfId="124" totalsRowDxfId="123" dataCellStyle="Time"/>
    <tableColumn id="4" xr3:uid="{4B03420C-8882-4063-A122-A1D4EB7B07FE}" name="Contracted Hours" dataDxfId="122" totalsRowDxfId="121" dataCellStyle="Time"/>
    <tableColumn id="5" xr3:uid="{D9AA93BB-7AEC-44AD-9773-9577204D1646}" name="Additional Hours" dataDxfId="120" totalsRowDxfId="119" dataCellStyle="Time"/>
    <tableColumn id="6" xr3:uid="{365AADE5-92E9-4981-BD3C-74E8DA11255A}" name="Total Hours Worked" totalsRowFunction="sum" dataDxfId="118" totalsRowDxfId="117" dataCellStyle="Hours">
      <calculatedColumnFormula>TimeSheet90[[#This Row],[Contracted Hours]]+TimeSheet90[[#This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4FC35AE9-0591-406B-83DB-90EE5D1F8A0F}" name="TimeSheet91" displayName="TimeSheet91" ref="B8:G15" headerRowDxfId="116" dataDxfId="115" totalsRowDxfId="114">
  <autoFilter ref="B8:G15" xr:uid="{00000000-0009-0000-0100-000001000000}"/>
  <tableColumns count="6">
    <tableColumn id="1" xr3:uid="{A44CC57D-5375-45F2-A85B-5741CC67CF52}" name="Dates(s)" totalsRowLabel="Total" dataDxfId="113" totalsRowDxfId="112" dataCellStyle="Date"/>
    <tableColumn id="2" xr3:uid="{00EA8780-44ED-447C-A386-E5EA253E3EBE}" name="Start Time" dataDxfId="111" totalsRowDxfId="110" dataCellStyle="Time"/>
    <tableColumn id="3" xr3:uid="{00FD079F-35F9-41B1-BAE0-106085C18F01}" name="Finish Time" dataDxfId="109" totalsRowDxfId="108" dataCellStyle="Time"/>
    <tableColumn id="4" xr3:uid="{B8B560EC-BEAB-4FAD-B5AB-68ED5C8A0F44}" name="Contracted Hours" dataDxfId="107" totalsRowDxfId="106" dataCellStyle="Time"/>
    <tableColumn id="5" xr3:uid="{D41A2276-8A01-4EF8-8115-B6DAB3AFA33D}" name="Additional Hours" dataDxfId="105" totalsRowDxfId="104" dataCellStyle="Time"/>
    <tableColumn id="6" xr3:uid="{3F5DF57D-AADB-4509-A50F-FAEB2BFFE0AC}" name="Total Hours Worked" totalsRowFunction="sum" dataDxfId="103" totalsRowDxfId="102" dataCellStyle="Hours">
      <calculatedColumnFormula>TimeSheet91[[#This Row],[Contracted Hours]]+TimeSheet91[[#This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32A571F1-BCC6-4EEB-AC1C-BCECFCD63287}" name="TimeSheet92" displayName="TimeSheet92" ref="B8:G15" headerRowDxfId="101" dataDxfId="100" totalsRowDxfId="99">
  <autoFilter ref="B8:G15" xr:uid="{00000000-0009-0000-0100-000001000000}"/>
  <tableColumns count="6">
    <tableColumn id="1" xr3:uid="{1150B78B-3E9D-446E-815E-8A6162A66496}" name="Dates(s)" totalsRowLabel="Total" dataDxfId="98" totalsRowDxfId="97" dataCellStyle="Date"/>
    <tableColumn id="2" xr3:uid="{19A17AC8-9E5B-4ABD-A8E3-B22981947225}" name="Start Time" dataDxfId="96" totalsRowDxfId="95" dataCellStyle="Time"/>
    <tableColumn id="3" xr3:uid="{1796E8B0-683C-4176-AA0E-5A002E93DEA0}" name="Finish Time" dataDxfId="94" totalsRowDxfId="93" dataCellStyle="Time"/>
    <tableColumn id="4" xr3:uid="{7260A1BF-D5EE-4C14-A5FB-DC8F22FCBE3F}" name="Contracted Hours" dataDxfId="92" totalsRowDxfId="91" dataCellStyle="Time"/>
    <tableColumn id="5" xr3:uid="{9262C1B3-E1E7-478A-92BA-AC7F2B13F872}" name="Additional Hours" dataDxfId="90" totalsRowDxfId="89" dataCellStyle="Time"/>
    <tableColumn id="6" xr3:uid="{149CF8A8-1A1E-4FAE-AAA7-99821E38A183}" name="Total Hours Worked" totalsRowFunction="sum" dataDxfId="88" totalsRowDxfId="87" dataCellStyle="Hours">
      <calculatedColumnFormula>TimeSheet92[[#This Row],[Contracted Hours]]+TimeSheet92[[#This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06CB2CE-5218-43A3-8819-C8DEF1019E36}" name="TimeSheet93" displayName="TimeSheet93" ref="B8:G15" headerRowDxfId="86" dataDxfId="85" totalsRowDxfId="84">
  <autoFilter ref="B8:G15" xr:uid="{00000000-0009-0000-0100-000001000000}"/>
  <tableColumns count="6">
    <tableColumn id="1" xr3:uid="{D59D8276-08C7-4C3A-B563-AB0219755ADB}" name="Dates(s)" totalsRowLabel="Total" dataDxfId="83" totalsRowDxfId="82" dataCellStyle="Date"/>
    <tableColumn id="2" xr3:uid="{FF3A768C-5C07-48D6-9D60-71406278D59E}" name="Start Time" dataDxfId="81" totalsRowDxfId="80" dataCellStyle="Time"/>
    <tableColumn id="3" xr3:uid="{AFF7FF8A-8BD3-415C-A43A-899C9D78C355}" name="Finish Time" dataDxfId="79" totalsRowDxfId="78" dataCellStyle="Time"/>
    <tableColumn id="4" xr3:uid="{61F73930-05F2-4749-9547-A56C6DE2620B}" name="Contracted Hours" dataDxfId="77" totalsRowDxfId="76" dataCellStyle="Time"/>
    <tableColumn id="5" xr3:uid="{CFE419F2-E32A-4912-9E85-FD42F91F699E}" name="Additional Hours" dataDxfId="75" totalsRowDxfId="74" dataCellStyle="Time"/>
    <tableColumn id="6" xr3:uid="{ABF89118-41E8-4580-AA42-6F36996DA2E9}" name="Total Hours Worked" totalsRowFunction="sum" dataDxfId="0" totalsRowDxfId="73" dataCellStyle="Hours">
      <calculatedColumnFormula>TimeSheet93[[#This Row],[Additional Hours]]+TimeSheet93[[#This Row],[Contracted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F9192954-3D03-4C69-A1F6-0BD57264F457}" name="TimeSheet94" displayName="TimeSheet94" ref="B8:G15" headerRowDxfId="72" dataDxfId="71" totalsRowDxfId="70">
  <autoFilter ref="B8:G15" xr:uid="{00000000-0009-0000-0100-000001000000}"/>
  <tableColumns count="6">
    <tableColumn id="1" xr3:uid="{A11F6082-FA24-4CC4-A226-A1A2CF71C0B7}" name="Dates(s)" totalsRowLabel="Total" dataDxfId="69" totalsRowDxfId="68" dataCellStyle="Date"/>
    <tableColumn id="2" xr3:uid="{9C61B3C9-5DA0-4FE5-A425-AE2F75FD8657}" name="Start Time" dataDxfId="67" totalsRowDxfId="66" dataCellStyle="Time"/>
    <tableColumn id="3" xr3:uid="{7E4521CA-5E73-4C93-84A8-C43590E27F1F}" name="Finish Time" dataDxfId="65" totalsRowDxfId="64" dataCellStyle="Time"/>
    <tableColumn id="4" xr3:uid="{9461B9FB-7D81-4F83-9F23-1A43B2599FB9}" name="Contracted Hours" dataDxfId="63" totalsRowDxfId="62" dataCellStyle="Time"/>
    <tableColumn id="5" xr3:uid="{B0AB2A8C-5403-4214-8BAF-A48F1890A192}" name="Additional Hours" dataDxfId="61" totalsRowDxfId="60" dataCellStyle="Time"/>
    <tableColumn id="6" xr3:uid="{670D3698-C8AA-4832-89D6-1902E0F15DD4}" name="Total Hours Worked" totalsRowFunction="sum" dataDxfId="4" totalsRowDxfId="59" dataCellStyle="Hours">
      <calculatedColumnFormula>TimeSheet94[[#This Row],[Contracted Hours]]+TimeSheet94[[#This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A25C16FD-DA38-440B-8B61-252A07AD4EE1}" name="TimeSheet95" displayName="TimeSheet95" ref="B8:G15" headerRowDxfId="58" dataDxfId="57" totalsRowDxfId="56">
  <autoFilter ref="B8:G15" xr:uid="{00000000-0009-0000-0100-000001000000}"/>
  <tableColumns count="6">
    <tableColumn id="1" xr3:uid="{BE9BEF4E-28AE-459A-BA07-D6A19B727F78}" name="Dates(s)" totalsRowLabel="Total" dataDxfId="55" totalsRowDxfId="54" dataCellStyle="Date"/>
    <tableColumn id="2" xr3:uid="{28C648E3-F32C-4677-B335-D992FEE8D203}" name="Start Time" dataDxfId="53" totalsRowDxfId="52" dataCellStyle="Time"/>
    <tableColumn id="3" xr3:uid="{B3CB1219-05B3-495E-806F-978F6E2AD3E2}" name="Finish Time" dataDxfId="51" totalsRowDxfId="50" dataCellStyle="Time"/>
    <tableColumn id="4" xr3:uid="{364E3631-8744-4292-A156-741FF262C771}" name="Contracted Hours" dataDxfId="49" totalsRowDxfId="48" dataCellStyle="Time"/>
    <tableColumn id="5" xr3:uid="{4285C61D-7BE4-4FB7-8CC8-B3FA4A41D3CD}" name="Additional Hours" dataDxfId="47" totalsRowDxfId="46" dataCellStyle="Time"/>
    <tableColumn id="6" xr3:uid="{8F0DD52B-83E5-4F10-AAE2-460D2B7E4507}" name="Total Hours Worked" totalsRowFunction="sum" dataDxfId="3" dataCellStyle="Hours">
      <calculatedColumnFormula>TimeSheet94[[#This Row],[Contracted Hours]]+TimeSheet94[[#This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9C93E23D-2F3B-4767-B140-98071E701A9E}" name="TimeSheet96" displayName="TimeSheet96" ref="B8:G15" headerRowDxfId="45" dataDxfId="44" totalsRowDxfId="43">
  <autoFilter ref="B8:G15" xr:uid="{00000000-0009-0000-0100-000001000000}"/>
  <tableColumns count="6">
    <tableColumn id="1" xr3:uid="{4BFDE9BF-EAB3-4741-BBB0-A324DED1830E}" name="Dates(s)" totalsRowLabel="Total" dataDxfId="42" totalsRowDxfId="41" dataCellStyle="Date"/>
    <tableColumn id="2" xr3:uid="{45E42753-8EB4-433B-9113-2AA19B559E05}" name="Start Time" dataDxfId="40" totalsRowDxfId="39" dataCellStyle="Time"/>
    <tableColumn id="3" xr3:uid="{B616DD3E-5E58-49BF-8EDA-1DAE9B5BD827}" name="Finish Time" dataDxfId="38" totalsRowDxfId="37" dataCellStyle="Time"/>
    <tableColumn id="4" xr3:uid="{95DF3BDC-329C-460C-BEA8-CE528F3423B7}" name="Contracted Hours" dataDxfId="36" totalsRowDxfId="35" dataCellStyle="Time"/>
    <tableColumn id="5" xr3:uid="{937A8A9C-4047-4DA3-AC80-0BDA58953697}" name="Additional Hours" dataDxfId="34" totalsRowDxfId="33" dataCellStyle="Time"/>
    <tableColumn id="6" xr3:uid="{D4617E3D-B7CA-479E-BD95-9C43627556DE}" name="Total Hours Worked" totalsRowFunction="sum" dataDxfId="2" dataCellStyle="Hours">
      <calculatedColumnFormula>TimeSheet94[[#This Row],[Contracted Hours]]+TimeSheet94[[#This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502CF87E-EE09-4F69-85D4-0FCEC2AF6100}" name="TimeSheet97" displayName="TimeSheet97" ref="B8:G15" headerRowDxfId="32" dataDxfId="31" totalsRowDxfId="30">
  <autoFilter ref="B8:G15" xr:uid="{00000000-0009-0000-0100-000001000000}"/>
  <tableColumns count="6">
    <tableColumn id="1" xr3:uid="{1D0B5128-8069-4CB1-A9C2-63DF0D4D33FE}" name="Dates(s)" totalsRowLabel="Total" dataDxfId="29" totalsRowDxfId="28" dataCellStyle="Date"/>
    <tableColumn id="2" xr3:uid="{9616B879-3EED-4AFF-9527-07EE128D0799}" name="Start Time" dataDxfId="27" totalsRowDxfId="26" dataCellStyle="Time"/>
    <tableColumn id="3" xr3:uid="{CAF1B4ED-B91C-4A9F-9E98-0EABBBC66195}" name="Finish Time" dataDxfId="25" totalsRowDxfId="24" dataCellStyle="Time"/>
    <tableColumn id="4" xr3:uid="{1108057D-ACBC-44D8-9B51-37E5F8456121}" name="Contracted Hours" dataDxfId="23" totalsRowDxfId="22" dataCellStyle="Time"/>
    <tableColumn id="5" xr3:uid="{21BDD0B0-B8FC-4C5C-8FE2-9D4FF531891F}" name="Additional Hours" dataDxfId="21" totalsRowDxfId="20" dataCellStyle="Time"/>
    <tableColumn id="6" xr3:uid="{97A42F40-5BD9-4F75-B7A3-5AC8A826379D}" name="Total Hours Worked" totalsRowFunction="sum" dataDxfId="1" dataCellStyle="Hours">
      <calculatedColumnFormula>TimeSheet94[[#This Row],[Contracted Hours]]+TimeSheet94[[#This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6AF3712F-E63A-4110-B77B-6732CF781FC0}" name="TimeSheet98" displayName="TimeSheet98" ref="B8:G15" headerRowDxfId="19" dataDxfId="18" totalsRowDxfId="17">
  <autoFilter ref="B8:G15" xr:uid="{00000000-0009-0000-0100-000001000000}"/>
  <tableColumns count="6">
    <tableColumn id="1" xr3:uid="{2F6E31E1-028F-4C14-AF52-CE3CD04903F7}" name="Dates(s)" totalsRowLabel="Total" dataDxfId="16" totalsRowDxfId="15" dataCellStyle="Date"/>
    <tableColumn id="2" xr3:uid="{12F5CA66-9063-479F-AA99-72C1F10A8F0E}" name="Start Time" dataDxfId="14" totalsRowDxfId="13" dataCellStyle="Time"/>
    <tableColumn id="3" xr3:uid="{3208E51E-586D-4888-8FD2-26712E633A74}" name="Finish Time" dataDxfId="12" totalsRowDxfId="11" dataCellStyle="Time"/>
    <tableColumn id="4" xr3:uid="{FF700AD5-AF69-4754-9D70-99CA99CBD5CA}" name="Contracted Hours" dataDxfId="10" totalsRowDxfId="9" dataCellStyle="Time"/>
    <tableColumn id="5" xr3:uid="{513ADB19-6EB6-495D-BE46-48A4377546FA}" name="Additional Hours" dataDxfId="8" totalsRowDxfId="7" dataCellStyle="Time"/>
    <tableColumn id="6" xr3:uid="{50ED60E7-28EA-44C9-B924-C210880E9F85}" name="Total Hours Worked" totalsRowFunction="sum" dataDxfId="6" totalsRowDxfId="5" dataCellStyle="Hours">
      <calculatedColumnFormula>TimeSheet98[[#This Row],[Contracted Hours]]+TimeSheet98[[#This Row],[Additional Hours]]</calculatedColumnFormula>
    </tableColumn>
  </tableColumns>
  <tableStyleInfo name="Time Sheet" showFirstColumn="0" showLastColumn="0" showRowStripes="0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0027-F861-4951-88D1-ECCC0CA540B3}">
  <sheetPr codeName="Sheet1">
    <tabColor theme="4"/>
    <pageSetUpPr fitToPage="1"/>
  </sheetPr>
  <dimension ref="A1:H16"/>
  <sheetViews>
    <sheetView showGridLines="0" zoomScale="60" zoomScaleNormal="60" workbookViewId="0">
      <selection activeCell="F3" sqref="F3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/>
      <c r="G3" s="5">
        <f>F3+6</f>
        <v>6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</v>
      </c>
      <c r="D7" s="12"/>
      <c r="E7" s="11">
        <f>SUM(TimeSheet[Contracted Hours])</f>
        <v>0</v>
      </c>
      <c r="F7" s="11">
        <f>SUM(TimeSheet[Additional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0</v>
      </c>
      <c r="C9" s="17"/>
      <c r="D9" s="17"/>
      <c r="E9" s="18"/>
      <c r="F9" s="18"/>
      <c r="G9" s="19">
        <f>TimeSheet[[#This Row],[Contracted Hours]]+TimeSheet[[#This Row],[Additional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1</v>
      </c>
      <c r="C10" s="17"/>
      <c r="D10" s="17"/>
      <c r="E10" s="18"/>
      <c r="F10" s="18"/>
      <c r="G10" s="19">
        <f>TimeSheet[[#This Row],[Contracted Hours]]+TimeSheet[[#This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2</v>
      </c>
      <c r="C11" s="17"/>
      <c r="D11" s="17"/>
      <c r="E11" s="18"/>
      <c r="F11" s="18"/>
      <c r="G11" s="19">
        <f>TimeSheet[[#This Row],[Contracted Hours]]+TimeSheet[[#This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3</v>
      </c>
      <c r="C12" s="17"/>
      <c r="D12" s="17"/>
      <c r="E12" s="18"/>
      <c r="F12" s="18"/>
      <c r="G12" s="19">
        <f>TimeSheet[[#This Row],[Contracted Hours]]+TimeSheet[[#This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</v>
      </c>
      <c r="C13" s="17"/>
      <c r="D13" s="17"/>
      <c r="E13" s="18"/>
      <c r="F13" s="18"/>
      <c r="G13" s="19">
        <f>TimeSheet[[#This Row],[Contracted Hours]]+TimeSheet[[#This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5</v>
      </c>
      <c r="C14" s="17"/>
      <c r="D14" s="17"/>
      <c r="E14" s="18"/>
      <c r="F14" s="18"/>
      <c r="G14" s="19">
        <f>TimeSheet[[#This Row],[Contracted Hours]]+TimeSheet[[#This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6</v>
      </c>
      <c r="C15" s="17"/>
      <c r="D15" s="17"/>
      <c r="E15" s="18"/>
      <c r="F15" s="18"/>
      <c r="G15" s="19">
        <f>TimeSheet[[#This Row],[Contracted Hours]]+TimeSheet[[#This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ErrorMessage="1" sqref="G6:G7 B18:G1048576 B9:G16 F17:G17 A2:A1048576 F2 B2:B3 H1:XFD1 H6:XFD1048576 H2:J5 M2:XFD5 D2:E4" xr:uid="{9E285531-D950-4E78-91CE-4A0A8B749E36}"/>
    <dataValidation allowBlank="1" showInputMessage="1" showErrorMessage="1" prompt="Enter Employee Name, Email and Phone in cells at right" sqref="D2" xr:uid="{635AAA4E-F668-4D9D-8F00-B9200FB1B5E1}"/>
    <dataValidation allowBlank="1" showInputMessage="1" showErrorMessage="1" prompt="Enter Manager Name in cells at right" sqref="B2" xr:uid="{BBB85EBE-8536-4517-B5BB-38E43935425E}"/>
    <dataValidation allowBlank="1" showInputMessage="1" showErrorMessage="1" prompt="Enter Manager Name in this cell" sqref="B3" xr:uid="{8ABCDE15-4A22-43DD-9BE7-B6DADE9BADCF}"/>
    <dataValidation allowBlank="1" showInputMessage="1" showErrorMessage="1" prompt="Total Hours Worked are automatically calculated in this column under this heading" sqref="C6 G8" xr:uid="{538C3CB8-14EC-4053-851A-C697892FAFF5}"/>
    <dataValidation allowBlank="1" showInputMessage="1" showErrorMessage="1" prompt="Total Hours Worked are automatically calculated in cell below" sqref="D6" xr:uid="{BF5A55B0-2D50-48EA-91A4-85B2267075B7}"/>
    <dataValidation allowBlank="1" showInputMessage="1" showErrorMessage="1" prompt="Total Contract Hours worked are automatically calculated in this column under this heading" sqref="E6" xr:uid="{7583C32F-7A01-4E1B-9FE3-A53740A77EF4}"/>
    <dataValidation allowBlank="1" showInputMessage="1" showErrorMessage="1" prompt="Total Additional Hours worked are automatically calculated in this column under this heading" sqref="F6" xr:uid="{3641D3F4-88E2-4548-B821-8FE6EE0EEF29}"/>
    <dataValidation allowBlank="1" showInputMessage="1" showErrorMessage="1" prompt="Total Worked Hours are automatically calculated in this cell" sqref="C7" xr:uid="{B0F2CBD5-352C-4AB6-850D-B1810897C174}"/>
    <dataValidation allowBlank="1" showInputMessage="1" showErrorMessage="1" prompt="Total Hours Worked are automatically calculated in this cell" sqref="D7" xr:uid="{DD73F584-C46A-4302-9D73-B1DEE277661E}"/>
    <dataValidation allowBlank="1" showInputMessage="1" showErrorMessage="1" prompt="Contract Hours are automatically calculated in this cell" sqref="E7" xr:uid="{B24B6A3B-222A-47C4-BA4F-05AD8B2FE02C}"/>
    <dataValidation allowBlank="1" showInputMessage="1" showErrorMessage="1" prompt="Additional Hours are automatically calculated in this cell" sqref="F7" xr:uid="{42F57B49-7CD4-4804-BB18-B0B0E4938F2E}"/>
    <dataValidation allowBlank="1" showInputMessage="1" showErrorMessage="1" prompt="Enter Date in this column under this heading. Use heading filters to find specific entries" sqref="B8" xr:uid="{4BAE29AC-A289-4238-A89F-20E88F5D9944}"/>
    <dataValidation allowBlank="1" showInputMessage="1" showErrorMessage="1" prompt="Enter Start Time in this column under this heading" sqref="C8" xr:uid="{C30961D4-3E23-4719-91A2-C64D8972DE03}"/>
    <dataValidation allowBlank="1" showInputMessage="1" showErrorMessage="1" prompt="Enter Finish Time in this column under this heading" sqref="D8" xr:uid="{4597AF50-EDA7-4D5D-A3E6-9DAFBD2C0911}"/>
    <dataValidation allowBlank="1" showInputMessage="1" showErrorMessage="1" prompt="Enter Contracted Hours in this column under this heading" sqref="E8" xr:uid="{DC71906B-1AC3-4FA2-9DE5-8CEB36D74071}"/>
    <dataValidation allowBlank="1" showInputMessage="1" showErrorMessage="1" prompt="Enter any Additional Hours in this column under this heading" sqref="F8" xr:uid="{6AF86041-E176-4730-ADA6-5CF3FB4EFD9D}"/>
    <dataValidation allowBlank="1" showInputMessage="1" showErrorMessage="1" prompt="Enter Employee Name in this cell" sqref="D3" xr:uid="{05203C36-1C25-4031-90D0-A01BA40BE9BC}"/>
    <dataValidation allowBlank="1" showInputMessage="1" showErrorMessage="1" prompt="Enter Employee Email in this cell" sqref="D4" xr:uid="{57E7175C-8865-4A39-BA21-4200AE710B06}"/>
    <dataValidation allowBlank="1" showInputMessage="1" showErrorMessage="1" prompt="Enter Period Start Date in this cell" sqref="F2" xr:uid="{43FBFDD7-5D63-4665-A376-B287F77C55C9}"/>
    <dataValidation allowBlank="1" showInputMessage="1" showErrorMessage="1" prompt="Total Additional Hours are calculated in the cell below" sqref="F6" xr:uid="{B462CAF6-BB25-4661-85DE-B8F1BB1BB8AF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E8B8-E83C-4FAC-B148-8BAFCEA0EADE}">
  <sheetPr codeName="Sheet2">
    <tabColor theme="4"/>
    <pageSetUpPr fitToPage="1"/>
  </sheetPr>
  <dimension ref="A1:H16"/>
  <sheetViews>
    <sheetView showGridLines="0" zoomScale="55" zoomScaleNormal="55" workbookViewId="0">
      <selection activeCell="D3" sqref="D3:E3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 t="s">
        <v>13</v>
      </c>
      <c r="E3" s="26"/>
      <c r="F3" s="5">
        <v>45019</v>
      </c>
      <c r="G3" s="5">
        <f>F3+6</f>
        <v>45025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1.6666666666666665</v>
      </c>
      <c r="D7" s="12"/>
      <c r="E7" s="11">
        <f>SUM(TimeSheet72[Contracted Hours])</f>
        <v>1.6666666666666665</v>
      </c>
      <c r="F7" s="11">
        <f>SUM(TimeSheet72[Additional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45019</v>
      </c>
      <c r="C9" s="17">
        <v>0.33333333333333331</v>
      </c>
      <c r="D9" s="17">
        <v>0.66666666666666663</v>
      </c>
      <c r="E9" s="18">
        <v>0.33333333333333331</v>
      </c>
      <c r="F9" s="18"/>
      <c r="G9" s="19">
        <f>TimeSheet72[[#This Row],[Contracted Hours]]+TimeSheet72[[#This Row],[Additional Hours]]</f>
        <v>0.33333333333333331</v>
      </c>
      <c r="H9" s="4"/>
    </row>
    <row r="10" spans="1:8" ht="50.1" customHeight="1" x14ac:dyDescent="0.55000000000000004">
      <c r="A10" s="4"/>
      <c r="B10" s="16">
        <f t="shared" ref="B10:B15" si="0">B9+1</f>
        <v>45020</v>
      </c>
      <c r="C10" s="17">
        <v>0.33333333333333331</v>
      </c>
      <c r="D10" s="17">
        <v>0.66666666666666663</v>
      </c>
      <c r="E10" s="18">
        <v>0.33333333333333331</v>
      </c>
      <c r="F10" s="18"/>
      <c r="G10" s="19">
        <f>TimeSheet72[[#This Row],[Contracted Hours]]+TimeSheet72[[#This Row],[Additional Hours]]</f>
        <v>0.33333333333333331</v>
      </c>
      <c r="H10" s="4"/>
    </row>
    <row r="11" spans="1:8" ht="50.1" customHeight="1" x14ac:dyDescent="0.55000000000000004">
      <c r="A11" s="4"/>
      <c r="B11" s="16">
        <f t="shared" si="0"/>
        <v>45021</v>
      </c>
      <c r="C11" s="17">
        <v>0.33333333333333331</v>
      </c>
      <c r="D11" s="17">
        <v>0.66666666666666663</v>
      </c>
      <c r="E11" s="18">
        <v>0.33333333333333331</v>
      </c>
      <c r="F11" s="18"/>
      <c r="G11" s="19">
        <f>TimeSheet72[[#This Row],[Contracted Hours]]+TimeSheet72[[#This Row],[Additional Hours]]</f>
        <v>0.33333333333333331</v>
      </c>
      <c r="H11" s="4"/>
    </row>
    <row r="12" spans="1:8" ht="50.1" customHeight="1" x14ac:dyDescent="0.55000000000000004">
      <c r="A12" s="4"/>
      <c r="B12" s="16">
        <f t="shared" si="0"/>
        <v>45022</v>
      </c>
      <c r="C12" s="17">
        <v>0.33333333333333331</v>
      </c>
      <c r="D12" s="17">
        <v>0.66666666666666663</v>
      </c>
      <c r="E12" s="18">
        <v>0.33333333333333331</v>
      </c>
      <c r="F12" s="18"/>
      <c r="G12" s="19">
        <f>TimeSheet72[[#This Row],[Contracted Hours]]+TimeSheet72[[#This Row],[Additional Hours]]</f>
        <v>0.33333333333333331</v>
      </c>
      <c r="H12" s="4"/>
    </row>
    <row r="13" spans="1:8" ht="50.1" customHeight="1" x14ac:dyDescent="0.55000000000000004">
      <c r="A13" s="4"/>
      <c r="B13" s="16">
        <f t="shared" si="0"/>
        <v>45023</v>
      </c>
      <c r="C13" s="17">
        <v>0.33333333333333331</v>
      </c>
      <c r="D13" s="17">
        <v>0.66666666666666663</v>
      </c>
      <c r="E13" s="18">
        <v>0.33333333333333331</v>
      </c>
      <c r="F13" s="18"/>
      <c r="G13" s="19">
        <f>TimeSheet72[[#This Row],[Contracted Hours]]+TimeSheet72[[#This Row],[Additional Hours]]</f>
        <v>0.33333333333333331</v>
      </c>
      <c r="H13" s="4"/>
    </row>
    <row r="14" spans="1:8" ht="50.1" customHeight="1" x14ac:dyDescent="0.55000000000000004">
      <c r="A14" s="4"/>
      <c r="B14" s="16">
        <f t="shared" si="0"/>
        <v>45024</v>
      </c>
      <c r="C14" s="17"/>
      <c r="D14" s="17"/>
      <c r="E14" s="18"/>
      <c r="F14" s="18"/>
      <c r="G14" s="19">
        <f>TimeSheet72[[#This Row],[Contracted Hours]]+TimeSheet72[[#This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45025</v>
      </c>
      <c r="C15" s="17"/>
      <c r="D15" s="17"/>
      <c r="E15" s="18"/>
      <c r="F15" s="18"/>
      <c r="G15" s="19">
        <f>TimeSheet72[[#This Row],[Contracted Hours]]+TimeSheet72[[#This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5E521FF3-5D9C-46D9-B8D6-C12A4FE2A5CD}"/>
    <dataValidation allowBlank="1" showInputMessage="1" showErrorMessage="1" prompt="Enter Period Start Date in this cell" sqref="F2" xr:uid="{3B15C70C-1017-438A-B0CC-3BA06D2B21D3}"/>
    <dataValidation allowBlank="1" showInputMessage="1" showErrorMessage="1" prompt="Enter Employee Email in this cell" sqref="D4" xr:uid="{A8E2F5C9-184B-4553-B386-3ADF49D21CE3}"/>
    <dataValidation allowBlank="1" showInputMessage="1" showErrorMessage="1" prompt="Enter Employee Name in this cell" sqref="D3" xr:uid="{F8525071-68B4-4551-A568-25E38E69A61D}"/>
    <dataValidation allowBlank="1" showInputMessage="1" showErrorMessage="1" prompt="Enter any Additional Hours in this column under this heading" sqref="F8" xr:uid="{5169E834-A121-479F-9415-7952C468A2E4}"/>
    <dataValidation allowBlank="1" showInputMessage="1" showErrorMessage="1" prompt="Enter Contracted Hours in this column under this heading" sqref="E8" xr:uid="{E31A2DD1-C4F6-4E9F-9F8A-585E3330FC5A}"/>
    <dataValidation allowBlank="1" showInputMessage="1" showErrorMessage="1" prompt="Enter Finish Time in this column under this heading" sqref="D8" xr:uid="{01765BC2-E951-4738-AC99-3636D3D48AB7}"/>
    <dataValidation allowBlank="1" showInputMessage="1" showErrorMessage="1" prompt="Enter Start Time in this column under this heading" sqref="C8" xr:uid="{D5B85DA4-0DF5-4E44-BBFB-36AAD85ABD0E}"/>
    <dataValidation allowBlank="1" showInputMessage="1" showErrorMessage="1" prompt="Enter Date in this column under this heading. Use heading filters to find specific entries" sqref="B8" xr:uid="{ED4C470F-DF43-4F83-AE5D-323623B41399}"/>
    <dataValidation allowBlank="1" showInputMessage="1" showErrorMessage="1" prompt="Additional Hours are automatically calculated in this cell" sqref="F7" xr:uid="{1B25668D-F8F8-40BB-89F1-E79197E85D47}"/>
    <dataValidation allowBlank="1" showInputMessage="1" showErrorMessage="1" prompt="Contract Hours are automatically calculated in this cell" sqref="E7" xr:uid="{0CA8A086-649A-44AF-BC44-FD92743DFAC5}"/>
    <dataValidation allowBlank="1" showInputMessage="1" showErrorMessage="1" prompt="Total Hours Worked are automatically calculated in this cell" sqref="D7" xr:uid="{550F0ECC-EAA4-4FDE-9BB1-94FDAFA8BA96}"/>
    <dataValidation allowBlank="1" showInputMessage="1" showErrorMessage="1" prompt="Total Worked Hours are automatically calculated in this cell" sqref="C7" xr:uid="{470BA10C-F319-467C-806E-315FE102FDB6}"/>
    <dataValidation allowBlank="1" showInputMessage="1" showErrorMessage="1" prompt="Total Additional Hours worked are automatically calculated in this column under this heading" sqref="F6" xr:uid="{4A199C42-38BF-4292-AA3B-12AA988A77D2}"/>
    <dataValidation allowBlank="1" showInputMessage="1" showErrorMessage="1" prompt="Total Contract Hours worked are automatically calculated in this column under this heading" sqref="E6" xr:uid="{39D10CE4-A1C5-4F9E-9AD2-CEF6B59BF66D}"/>
    <dataValidation allowBlank="1" showInputMessage="1" showErrorMessage="1" prompt="Total Hours Worked are automatically calculated in cell below" sqref="D6" xr:uid="{5655AF9F-0323-4A45-827F-DFAF741F34C1}"/>
    <dataValidation allowBlank="1" showInputMessage="1" showErrorMessage="1" prompt="Total Hours Worked are automatically calculated in this column under this heading" sqref="C6 G8" xr:uid="{AF1ACC2C-BF85-430D-9720-EE83ADC60F7C}"/>
    <dataValidation allowBlank="1" showInputMessage="1" showErrorMessage="1" prompt="Enter Manager Name in this cell" sqref="B3" xr:uid="{D5614E72-99FF-4007-8419-54E6AFE89D70}"/>
    <dataValidation allowBlank="1" showInputMessage="1" showErrorMessage="1" prompt="Enter Manager Name in cells at right" sqref="B2" xr:uid="{11F9CEFD-F543-4785-B6B3-897046977BE0}"/>
    <dataValidation allowBlank="1" showInputMessage="1" showErrorMessage="1" prompt="Enter Employee Name, Email and Phone in cells at right" sqref="D2" xr:uid="{CB1E905F-FFD2-4C56-916F-69BD32F85E3F}"/>
    <dataValidation allowBlank="1" showErrorMessage="1" sqref="G6:G7 B18:G1048576 D2:E4 F17:G17 A2:A1048576 F2 B2:B3 H1:XFD1 H6:XFD1048576 H2:J5 M2:XFD5 B9:G16" xr:uid="{C5EDEF9F-C8FF-4C84-9F54-B8946D5A3860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9358-1092-4794-80B4-5F1EDE0A153C}">
  <sheetPr codeName="Sheet3">
    <tabColor theme="4"/>
    <pageSetUpPr fitToPage="1"/>
  </sheetPr>
  <dimension ref="A1:H16"/>
  <sheetViews>
    <sheetView showGridLines="0" zoomScale="60" zoomScaleNormal="60" workbookViewId="0">
      <selection activeCell="D3" sqref="D3:E3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x14ac:dyDescent="0.55000000000000004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 t="s">
        <v>13</v>
      </c>
      <c r="E3" s="26"/>
      <c r="F3" s="5">
        <v>45026</v>
      </c>
      <c r="G3" s="5">
        <f>F3+6</f>
        <v>45032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1.6666666666666665</v>
      </c>
      <c r="D7" s="12"/>
      <c r="E7" s="11">
        <f>SUM(TimeSheet73[Contracted Hours])</f>
        <v>1.6666666666666665</v>
      </c>
      <c r="F7" s="11">
        <f>SUM(TimeSheet73[Additional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45026</v>
      </c>
      <c r="C9" s="17">
        <v>0.33333333333333331</v>
      </c>
      <c r="D9" s="17">
        <v>0.66666666666666663</v>
      </c>
      <c r="E9" s="18">
        <v>0.33333333333333331</v>
      </c>
      <c r="F9" s="18"/>
      <c r="G9" s="19">
        <f>TimeSheet72[[#This Row],[Contracted Hours]]+TimeSheet72[[#This Row],[Additional Hours]]</f>
        <v>0.33333333333333331</v>
      </c>
      <c r="H9" s="4"/>
    </row>
    <row r="10" spans="1:8" ht="50.1" customHeight="1" x14ac:dyDescent="0.55000000000000004">
      <c r="A10" s="4"/>
      <c r="B10" s="16">
        <f t="shared" ref="B10:B15" si="0">B9+1</f>
        <v>45027</v>
      </c>
      <c r="C10" s="17">
        <v>0.33333333333333331</v>
      </c>
      <c r="D10" s="17">
        <v>0.66666666666666663</v>
      </c>
      <c r="E10" s="18">
        <v>0.33333333333333331</v>
      </c>
      <c r="F10" s="18"/>
      <c r="G10" s="19">
        <f>TimeSheet72[[#This Row],[Contracted Hours]]+TimeSheet72[[#This Row],[Additional Hours]]</f>
        <v>0.33333333333333331</v>
      </c>
      <c r="H10" s="4"/>
    </row>
    <row r="11" spans="1:8" ht="50.1" customHeight="1" x14ac:dyDescent="0.55000000000000004">
      <c r="A11" s="4"/>
      <c r="B11" s="16">
        <f t="shared" si="0"/>
        <v>45028</v>
      </c>
      <c r="C11" s="17">
        <v>0.33333333333333331</v>
      </c>
      <c r="D11" s="17">
        <v>0.66666666666666663</v>
      </c>
      <c r="E11" s="18">
        <v>0.33333333333333331</v>
      </c>
      <c r="F11" s="18"/>
      <c r="G11" s="19">
        <f>TimeSheet72[[#This Row],[Contracted Hours]]+TimeSheet72[[#This Row],[Additional Hours]]</f>
        <v>0.33333333333333331</v>
      </c>
      <c r="H11" s="4"/>
    </row>
    <row r="12" spans="1:8" ht="50.1" customHeight="1" x14ac:dyDescent="0.55000000000000004">
      <c r="A12" s="4"/>
      <c r="B12" s="16">
        <f t="shared" si="0"/>
        <v>45029</v>
      </c>
      <c r="C12" s="17">
        <v>0.33333333333333331</v>
      </c>
      <c r="D12" s="17">
        <v>0.66666666666666663</v>
      </c>
      <c r="E12" s="18">
        <v>0.33333333333333331</v>
      </c>
      <c r="F12" s="18"/>
      <c r="G12" s="19">
        <f>TimeSheet72[[#This Row],[Contracted Hours]]+TimeSheet72[[#This Row],[Additional Hours]]</f>
        <v>0.33333333333333331</v>
      </c>
      <c r="H12" s="4"/>
    </row>
    <row r="13" spans="1:8" ht="50.1" customHeight="1" x14ac:dyDescent="0.55000000000000004">
      <c r="A13" s="4"/>
      <c r="B13" s="16">
        <f t="shared" si="0"/>
        <v>45030</v>
      </c>
      <c r="C13" s="17">
        <v>0.33333333333333331</v>
      </c>
      <c r="D13" s="17">
        <v>0.66666666666666663</v>
      </c>
      <c r="E13" s="18">
        <v>0.33333333333333331</v>
      </c>
      <c r="F13" s="18"/>
      <c r="G13" s="19">
        <f>TimeSheet72[[#This Row],[Contracted Hours]]+TimeSheet72[[#This Row],[Additional Hours]]</f>
        <v>0.33333333333333331</v>
      </c>
      <c r="H13" s="4"/>
    </row>
    <row r="14" spans="1:8" ht="50.1" customHeight="1" x14ac:dyDescent="0.55000000000000004">
      <c r="A14" s="4"/>
      <c r="B14" s="16">
        <f t="shared" si="0"/>
        <v>45031</v>
      </c>
      <c r="C14" s="17"/>
      <c r="D14" s="17"/>
      <c r="E14" s="18"/>
      <c r="F14" s="18"/>
      <c r="G14" s="19">
        <f>TimeSheet72[[#This Row],[Contracted Hours]]+TimeSheet72[[#This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45032</v>
      </c>
      <c r="C15" s="17"/>
      <c r="D15" s="17"/>
      <c r="E15" s="18"/>
      <c r="F15" s="18"/>
      <c r="G15" s="19">
        <f>TimeSheet72[[#This Row],[Contracted Hours]]+TimeSheet72[[#This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97FCD9C2-0FFB-4913-89DA-3A82EBB6F13F}"/>
    <dataValidation allowBlank="1" showInputMessage="1" showErrorMessage="1" prompt="Enter Period Start Date in this cell" sqref="F2" xr:uid="{E545223B-2BF6-48EA-9A73-2E8394CF618F}"/>
    <dataValidation allowBlank="1" showInputMessage="1" showErrorMessage="1" prompt="Enter Employee Email in this cell" sqref="D4" xr:uid="{E00F12E3-6540-4354-A46F-8F8E00CA1858}"/>
    <dataValidation allowBlank="1" showInputMessage="1" showErrorMessage="1" prompt="Enter Employee Name in this cell" sqref="D3" xr:uid="{D217F9D2-FF6B-4EF5-A4A8-C73B04C43509}"/>
    <dataValidation allowBlank="1" showInputMessage="1" showErrorMessage="1" prompt="Enter any Additional Hours in this column under this heading" sqref="F8" xr:uid="{1D6279D6-B7B5-48B8-AFB6-DE365C98FF23}"/>
    <dataValidation allowBlank="1" showInputMessage="1" showErrorMessage="1" prompt="Enter Contracted Hours in this column under this heading" sqref="E8" xr:uid="{BEA6FDA2-D500-4484-9230-B6B8F2AE58D8}"/>
    <dataValidation allowBlank="1" showInputMessage="1" showErrorMessage="1" prompt="Enter Finish Time in this column under this heading" sqref="D8" xr:uid="{A1E91B69-3197-426B-A8AC-DCA8604E2A90}"/>
    <dataValidation allowBlank="1" showInputMessage="1" showErrorMessage="1" prompt="Enter Start Time in this column under this heading" sqref="C8" xr:uid="{BB6D9004-CA10-46F3-A9D1-FA6286B796A7}"/>
    <dataValidation allowBlank="1" showInputMessage="1" showErrorMessage="1" prompt="Enter Date in this column under this heading. Use heading filters to find specific entries" sqref="B8" xr:uid="{BE90E447-87AF-4460-815F-CB60619437D0}"/>
    <dataValidation allowBlank="1" showInputMessage="1" showErrorMessage="1" prompt="Additional Hours are automatically calculated in this cell" sqref="F7" xr:uid="{4A696FB0-7782-40B2-B722-494F4A74CDBD}"/>
    <dataValidation allowBlank="1" showInputMessage="1" showErrorMessage="1" prompt="Contract Hours are automatically calculated in this cell" sqref="E7" xr:uid="{6F320874-AE4A-4546-9322-A79DE1BBC035}"/>
    <dataValidation allowBlank="1" showInputMessage="1" showErrorMessage="1" prompt="Total Hours Worked are automatically calculated in this cell" sqref="D7" xr:uid="{82658B3E-9023-43A7-BCAA-7A94A4C9B539}"/>
    <dataValidation allowBlank="1" showInputMessage="1" showErrorMessage="1" prompt="Total Worked Hours are automatically calculated in this cell" sqref="C7" xr:uid="{ED0FCD5D-0EEE-44B6-B345-C47D23E059DB}"/>
    <dataValidation allowBlank="1" showInputMessage="1" showErrorMessage="1" prompt="Total Additional Hours worked are automatically calculated in this column under this heading" sqref="F6" xr:uid="{876684EF-91C7-49CD-840C-D9CC0AF02FF2}"/>
    <dataValidation allowBlank="1" showInputMessage="1" showErrorMessage="1" prompt="Total Contract Hours worked are automatically calculated in this column under this heading" sqref="E6" xr:uid="{8514DA2F-9A42-4CF5-95DD-8E7BE1D14870}"/>
    <dataValidation allowBlank="1" showInputMessage="1" showErrorMessage="1" prompt="Total Hours Worked are automatically calculated in cell below" sqref="D6" xr:uid="{0CE0E4E3-4BBD-469E-968C-6550E70403F5}"/>
    <dataValidation allowBlank="1" showInputMessage="1" showErrorMessage="1" prompt="Total Hours Worked are automatically calculated in this column under this heading" sqref="C6 G8" xr:uid="{07D26170-8FE1-4428-BA07-96C70149CB39}"/>
    <dataValidation allowBlank="1" showInputMessage="1" showErrorMessage="1" prompt="Enter Manager Name in this cell" sqref="B3" xr:uid="{407AAA62-3464-4C14-8DA0-380F9DD035A7}"/>
    <dataValidation allowBlank="1" showInputMessage="1" showErrorMessage="1" prompt="Enter Manager Name in cells at right" sqref="B2" xr:uid="{E37F26E2-5EF4-41FA-A45F-2044F8BC0731}"/>
    <dataValidation allowBlank="1" showInputMessage="1" showErrorMessage="1" prompt="Enter Employee Name, Email and Phone in cells at right" sqref="D2" xr:uid="{35885132-9343-4547-94B4-866EE2F216A2}"/>
    <dataValidation allowBlank="1" showErrorMessage="1" sqref="G6:G7 B18:G1048576 B9:G16 F17:G17 A2:A1048576 F2 B2:B3 H1:XFD1 H6:XFD1048576 H2:J5 M2:XFD5 D2:E4" xr:uid="{229F16EF-D1FD-448A-A3C5-CE65B65955E7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4348-8EDE-4B25-B65E-DB4FBAC0D10A}">
  <sheetPr codeName="Sheet4">
    <tabColor theme="4"/>
    <pageSetUpPr fitToPage="1"/>
  </sheetPr>
  <dimension ref="A1:H16"/>
  <sheetViews>
    <sheetView showGridLines="0" zoomScale="60" zoomScaleNormal="60" workbookViewId="0">
      <selection activeCell="D3" sqref="D3:E3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x14ac:dyDescent="0.55000000000000004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 t="s">
        <v>13</v>
      </c>
      <c r="E3" s="26"/>
      <c r="F3" s="5">
        <v>45033</v>
      </c>
      <c r="G3" s="5">
        <f>F3+6</f>
        <v>45039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1.6666666666666665</v>
      </c>
      <c r="D7" s="12"/>
      <c r="E7" s="11">
        <f>SUM(TimeSheet74[Contracted Hours])</f>
        <v>1.6666666666666665</v>
      </c>
      <c r="F7" s="11">
        <f>SUM(TimeSheet74[Additional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45033</v>
      </c>
      <c r="C9" s="17">
        <v>0.33333333333333331</v>
      </c>
      <c r="D9" s="17">
        <v>0.66666666666666663</v>
      </c>
      <c r="E9" s="18">
        <v>0.33333333333333331</v>
      </c>
      <c r="F9" s="18"/>
      <c r="G9" s="19">
        <f>TimeSheet72[[#This Row],[Contracted Hours]]+TimeSheet72[[#This Row],[Additional Hours]]</f>
        <v>0.33333333333333331</v>
      </c>
      <c r="H9" s="4"/>
    </row>
    <row r="10" spans="1:8" ht="50.1" customHeight="1" x14ac:dyDescent="0.55000000000000004">
      <c r="A10" s="4"/>
      <c r="B10" s="16">
        <f t="shared" ref="B10:B15" si="0">B9+1</f>
        <v>45034</v>
      </c>
      <c r="C10" s="17">
        <v>0.33333333333333331</v>
      </c>
      <c r="D10" s="17">
        <v>0.66666666666666663</v>
      </c>
      <c r="E10" s="18">
        <v>0.33333333333333331</v>
      </c>
      <c r="F10" s="18"/>
      <c r="G10" s="19">
        <f>TimeSheet72[[#This Row],[Contracted Hours]]+TimeSheet72[[#This Row],[Additional Hours]]</f>
        <v>0.33333333333333331</v>
      </c>
      <c r="H10" s="4"/>
    </row>
    <row r="11" spans="1:8" ht="50.1" customHeight="1" x14ac:dyDescent="0.55000000000000004">
      <c r="A11" s="4"/>
      <c r="B11" s="16">
        <f t="shared" si="0"/>
        <v>45035</v>
      </c>
      <c r="C11" s="17">
        <v>0.33333333333333331</v>
      </c>
      <c r="D11" s="17">
        <v>0.66666666666666663</v>
      </c>
      <c r="E11" s="18">
        <v>0.33333333333333331</v>
      </c>
      <c r="F11" s="18"/>
      <c r="G11" s="19">
        <f>TimeSheet72[[#This Row],[Contracted Hours]]+TimeSheet72[[#This Row],[Additional Hours]]</f>
        <v>0.33333333333333331</v>
      </c>
      <c r="H11" s="4"/>
    </row>
    <row r="12" spans="1:8" ht="50.1" customHeight="1" x14ac:dyDescent="0.55000000000000004">
      <c r="A12" s="4"/>
      <c r="B12" s="16">
        <f t="shared" si="0"/>
        <v>45036</v>
      </c>
      <c r="C12" s="17">
        <v>0.33333333333333331</v>
      </c>
      <c r="D12" s="17">
        <v>0.66666666666666663</v>
      </c>
      <c r="E12" s="18">
        <v>0.33333333333333331</v>
      </c>
      <c r="F12" s="18"/>
      <c r="G12" s="19">
        <f>TimeSheet72[[#This Row],[Contracted Hours]]+TimeSheet72[[#This Row],[Additional Hours]]</f>
        <v>0.33333333333333331</v>
      </c>
      <c r="H12" s="4"/>
    </row>
    <row r="13" spans="1:8" ht="50.1" customHeight="1" x14ac:dyDescent="0.55000000000000004">
      <c r="A13" s="4"/>
      <c r="B13" s="16">
        <f t="shared" si="0"/>
        <v>45037</v>
      </c>
      <c r="C13" s="17">
        <v>0.33333333333333331</v>
      </c>
      <c r="D13" s="17">
        <v>0.66666666666666663</v>
      </c>
      <c r="E13" s="18">
        <v>0.33333333333333331</v>
      </c>
      <c r="F13" s="18"/>
      <c r="G13" s="19">
        <f>TimeSheet72[[#This Row],[Contracted Hours]]+TimeSheet72[[#This Row],[Additional Hours]]</f>
        <v>0.33333333333333331</v>
      </c>
      <c r="H13" s="4"/>
    </row>
    <row r="14" spans="1:8" ht="50.1" customHeight="1" x14ac:dyDescent="0.55000000000000004">
      <c r="A14" s="4"/>
      <c r="B14" s="16">
        <f t="shared" si="0"/>
        <v>45038</v>
      </c>
      <c r="C14" s="17"/>
      <c r="D14" s="17"/>
      <c r="E14" s="18"/>
      <c r="F14" s="18"/>
      <c r="G14" s="19">
        <f>TimeSheet72[[#This Row],[Contracted Hours]]+TimeSheet72[[#This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45039</v>
      </c>
      <c r="C15" s="17"/>
      <c r="D15" s="17"/>
      <c r="E15" s="18"/>
      <c r="F15" s="18"/>
      <c r="G15" s="19">
        <f>TimeSheet72[[#This Row],[Contracted Hours]]+TimeSheet72[[#This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62737A2F-73DF-40E8-8A1F-A57BDA611A4B}"/>
    <dataValidation allowBlank="1" showInputMessage="1" showErrorMessage="1" prompt="Enter Period Start Date in this cell" sqref="F2" xr:uid="{E747796E-8BA7-4BD2-B78D-16B2F58309D8}"/>
    <dataValidation allowBlank="1" showInputMessage="1" showErrorMessage="1" prompt="Enter Employee Email in this cell" sqref="D4" xr:uid="{A202C13D-5A12-4538-B107-5F0BF411F7BC}"/>
    <dataValidation allowBlank="1" showInputMessage="1" showErrorMessage="1" prompt="Enter Employee Name in this cell" sqref="D3" xr:uid="{FFC7D5BA-E887-40B7-9ABE-BD8E701623A8}"/>
    <dataValidation allowBlank="1" showInputMessage="1" showErrorMessage="1" prompt="Enter any Additional Hours in this column under this heading" sqref="F8" xr:uid="{553923C4-AA35-4D99-9646-B968C9F784CE}"/>
    <dataValidation allowBlank="1" showInputMessage="1" showErrorMessage="1" prompt="Enter Contracted Hours in this column under this heading" sqref="E8" xr:uid="{57FE5146-EC9F-4562-8F94-EEBA800A0F5D}"/>
    <dataValidation allowBlank="1" showInputMessage="1" showErrorMessage="1" prompt="Enter Finish Time in this column under this heading" sqref="D8" xr:uid="{8CFE3208-0E26-4256-BA9E-AC5BF145C128}"/>
    <dataValidation allowBlank="1" showInputMessage="1" showErrorMessage="1" prompt="Enter Start Time in this column under this heading" sqref="C8" xr:uid="{15776425-6C4B-49D7-845E-AD8E1B26BD8A}"/>
    <dataValidation allowBlank="1" showInputMessage="1" showErrorMessage="1" prompt="Enter Date in this column under this heading. Use heading filters to find specific entries" sqref="B8" xr:uid="{192BF3C5-1DA8-42C1-AFDC-B73A8BC54753}"/>
    <dataValidation allowBlank="1" showInputMessage="1" showErrorMessage="1" prompt="Additional Hours are automatically calculated in this cell" sqref="F7" xr:uid="{51FD0ECB-FB64-4229-ADC0-D86BACA9BC57}"/>
    <dataValidation allowBlank="1" showInputMessage="1" showErrorMessage="1" prompt="Contract Hours are automatically calculated in this cell" sqref="E7" xr:uid="{B1C02A5A-EF9F-48EF-9478-78D8BC032AF0}"/>
    <dataValidation allowBlank="1" showInputMessage="1" showErrorMessage="1" prompt="Total Hours Worked are automatically calculated in this cell" sqref="D7" xr:uid="{5FDC29BB-9CDB-4DA1-B5B3-CB28BE3ECB79}"/>
    <dataValidation allowBlank="1" showInputMessage="1" showErrorMessage="1" prompt="Total Worked Hours are automatically calculated in this cell" sqref="C7" xr:uid="{92CA4C27-DEA5-46AE-A63C-CDDA090A239F}"/>
    <dataValidation allowBlank="1" showInputMessage="1" showErrorMessage="1" prompt="Total Additional Hours worked are automatically calculated in this column under this heading" sqref="F6" xr:uid="{E32A2CF4-0F1F-401F-A2CD-849416A6F01A}"/>
    <dataValidation allowBlank="1" showInputMessage="1" showErrorMessage="1" prompt="Total Contract Hours worked are automatically calculated in this column under this heading" sqref="E6" xr:uid="{73C6B0BC-67EA-4F9A-B7A6-BE679D21F7E7}"/>
    <dataValidation allowBlank="1" showInputMessage="1" showErrorMessage="1" prompt="Total Hours Worked are automatically calculated in cell below" sqref="D6" xr:uid="{C2A7C912-8E6F-4C4E-A1B8-37A0B59C09A7}"/>
    <dataValidation allowBlank="1" showInputMessage="1" showErrorMessage="1" prompt="Total Hours Worked are automatically calculated in this column under this heading" sqref="C6 G8" xr:uid="{AAD89BE6-FAE3-49E2-9200-08E3846DCA97}"/>
    <dataValidation allowBlank="1" showInputMessage="1" showErrorMessage="1" prompt="Enter Manager Name in this cell" sqref="B3" xr:uid="{089C70C4-7852-439A-899E-5134D4F424F7}"/>
    <dataValidation allowBlank="1" showInputMessage="1" showErrorMessage="1" prompt="Enter Manager Name in cells at right" sqref="B2" xr:uid="{853FB348-EE3B-4120-8322-BFB9D9FBFD0C}"/>
    <dataValidation allowBlank="1" showInputMessage="1" showErrorMessage="1" prompt="Enter Employee Name, Email and Phone in cells at right" sqref="D2" xr:uid="{22B3A5E8-BC8A-47B1-B505-F754A77D84F7}"/>
    <dataValidation allowBlank="1" showErrorMessage="1" sqref="G6:G7 B18:G1048576 B9:G16 F17:G17 A2:A1048576 F2 B2:B3 H1:XFD1 H6:XFD1048576 H2:J5 M2:XFD5 D2:E4" xr:uid="{160F16E6-0344-40B6-B859-AE1C6A632627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1DAA-FB19-47CC-82D3-2A11D342C8D7}">
  <sheetPr codeName="Sheet5">
    <tabColor theme="4"/>
    <pageSetUpPr fitToPage="1"/>
  </sheetPr>
  <dimension ref="A1:H16"/>
  <sheetViews>
    <sheetView showGridLines="0" topLeftCell="A3" zoomScale="60" zoomScaleNormal="60" workbookViewId="0">
      <selection activeCell="D5" sqref="D5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x14ac:dyDescent="0.55000000000000004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 t="s">
        <v>13</v>
      </c>
      <c r="E3" s="26"/>
      <c r="F3" s="5">
        <v>45040</v>
      </c>
      <c r="G3" s="5">
        <f>F3+6</f>
        <v>45046</v>
      </c>
      <c r="H3" s="4"/>
    </row>
    <row r="4" spans="1:8" ht="40" customHeight="1" x14ac:dyDescent="0.55000000000000004">
      <c r="A4" s="4"/>
      <c r="B4" s="6"/>
      <c r="C4" s="6"/>
      <c r="D4" s="20" t="s">
        <v>14</v>
      </c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</v>
      </c>
      <c r="D7" s="12"/>
      <c r="E7" s="11">
        <f>SUM(TimeSheet75[Contracted Hours])</f>
        <v>0</v>
      </c>
      <c r="F7" s="11">
        <f>SUM(TimeSheet75[Additional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45040</v>
      </c>
      <c r="C9" s="17"/>
      <c r="D9" s="17"/>
      <c r="E9" s="18"/>
      <c r="F9" s="18"/>
      <c r="G9" s="19">
        <f>TimeSheet75[[#This Row],[Contracted Hours]]+TimeSheet75[[#This Row],[Additional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45041</v>
      </c>
      <c r="C10" s="17"/>
      <c r="D10" s="17"/>
      <c r="E10" s="18"/>
      <c r="F10" s="18"/>
      <c r="G10" s="19">
        <f>TimeSheet75[[#This Row],[Contracted Hours]]+TimeSheet75[[#This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45042</v>
      </c>
      <c r="C11" s="17"/>
      <c r="D11" s="17"/>
      <c r="E11" s="18"/>
      <c r="F11" s="18"/>
      <c r="G11" s="19">
        <f>TimeSheet75[[#This Row],[Contracted Hours]]+TimeSheet75[[#This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45043</v>
      </c>
      <c r="C12" s="17"/>
      <c r="D12" s="17"/>
      <c r="E12" s="18"/>
      <c r="F12" s="18"/>
      <c r="G12" s="19">
        <f>TimeSheet75[[#This Row],[Contracted Hours]]+TimeSheet75[[#This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45044</v>
      </c>
      <c r="C13" s="17"/>
      <c r="D13" s="17"/>
      <c r="E13" s="18"/>
      <c r="F13" s="18"/>
      <c r="G13" s="19">
        <f>TimeSheet75[[#This Row],[Contracted Hours]]+TimeSheet75[[#This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45045</v>
      </c>
      <c r="C14" s="17"/>
      <c r="D14" s="17"/>
      <c r="E14" s="18"/>
      <c r="F14" s="18"/>
      <c r="G14" s="19">
        <f>TimeSheet75[[#This Row],[Contracted Hours]]+TimeSheet75[[#This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45046</v>
      </c>
      <c r="C15" s="17"/>
      <c r="D15" s="17"/>
      <c r="E15" s="18"/>
      <c r="F15" s="18"/>
      <c r="G15" s="19">
        <f>TimeSheet75[[#This Row],[Contracted Hours]]+TimeSheet75[[#This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92EBD739-5DC9-4885-9B95-60AD26E21E02}"/>
    <dataValidation allowBlank="1" showInputMessage="1" showErrorMessage="1" prompt="Enter Period Start Date in this cell" sqref="F2" xr:uid="{04034E65-8B31-4305-B689-E0AF630876B1}"/>
    <dataValidation allowBlank="1" showInputMessage="1" showErrorMessage="1" prompt="Enter Employee Email in this cell" sqref="D4" xr:uid="{898739D1-19F9-4438-AD6D-4797F34AC1E8}"/>
    <dataValidation allowBlank="1" showInputMessage="1" showErrorMessage="1" prompt="Enter Employee Name in this cell" sqref="D3" xr:uid="{74C2EDBB-A266-4FF7-9C4B-9CFDADA56063}"/>
    <dataValidation allowBlank="1" showInputMessage="1" showErrorMessage="1" prompt="Enter any Additional Hours in this column under this heading" sqref="F8" xr:uid="{35B0E4EA-E5FD-403A-979C-3D8B244E326A}"/>
    <dataValidation allowBlank="1" showInputMessage="1" showErrorMessage="1" prompt="Enter Contracted Hours in this column under this heading" sqref="E8" xr:uid="{5F223179-B711-48BC-AA80-EFEE822559A0}"/>
    <dataValidation allowBlank="1" showInputMessage="1" showErrorMessage="1" prompt="Enter Finish Time in this column under this heading" sqref="D8" xr:uid="{BB5F4D2C-D16F-437D-948A-275036A41B89}"/>
    <dataValidation allowBlank="1" showInputMessage="1" showErrorMessage="1" prompt="Enter Start Time in this column under this heading" sqref="C8" xr:uid="{B2049068-02EB-486C-A6F5-5DCD911C2C5B}"/>
    <dataValidation allowBlank="1" showInputMessage="1" showErrorMessage="1" prompt="Enter Date in this column under this heading. Use heading filters to find specific entries" sqref="B8" xr:uid="{3830DE78-CF4A-4D61-A3E8-23F15E15BC69}"/>
    <dataValidation allowBlank="1" showInputMessage="1" showErrorMessage="1" prompt="Additional Hours are automatically calculated in this cell" sqref="F7" xr:uid="{F6E6932A-BDDC-42BE-804C-06A3083CC645}"/>
    <dataValidation allowBlank="1" showInputMessage="1" showErrorMessage="1" prompt="Contract Hours are automatically calculated in this cell" sqref="E7" xr:uid="{A8727E2A-C717-4BAA-A18C-EF1B758DFA08}"/>
    <dataValidation allowBlank="1" showInputMessage="1" showErrorMessage="1" prompt="Total Hours Worked are automatically calculated in this cell" sqref="D7" xr:uid="{DFA71BEF-DC34-47C7-A531-BAB3DDDB1EB9}"/>
    <dataValidation allowBlank="1" showInputMessage="1" showErrorMessage="1" prompt="Total Worked Hours are automatically calculated in this cell" sqref="C7" xr:uid="{928A6537-8AD5-4E5D-BB51-AC8152ADFE0A}"/>
    <dataValidation allowBlank="1" showInputMessage="1" showErrorMessage="1" prompt="Total Additional Hours worked are automatically calculated in this column under this heading" sqref="F6" xr:uid="{CA310363-2B14-4732-B556-5FD2EF3343A7}"/>
    <dataValidation allowBlank="1" showInputMessage="1" showErrorMessage="1" prompt="Total Contract Hours worked are automatically calculated in this column under this heading" sqref="E6" xr:uid="{9DECAF77-6ACE-468A-B46E-CBB264C5D0AD}"/>
    <dataValidation allowBlank="1" showInputMessage="1" showErrorMessage="1" prompt="Total Hours Worked are automatically calculated in cell below" sqref="D6" xr:uid="{A4C0F899-D525-4FEA-8091-6ECC50B93F68}"/>
    <dataValidation allowBlank="1" showInputMessage="1" showErrorMessage="1" prompt="Total Hours Worked are automatically calculated in this column under this heading" sqref="C6 G8" xr:uid="{5EE2F9D6-805D-420B-B7E6-E4F5BC1077F2}"/>
    <dataValidation allowBlank="1" showInputMessage="1" showErrorMessage="1" prompt="Enter Manager Name in this cell" sqref="B3" xr:uid="{28333997-CBD3-4971-8FCD-9F87D0FD2665}"/>
    <dataValidation allowBlank="1" showInputMessage="1" showErrorMessage="1" prompt="Enter Manager Name in cells at right" sqref="B2" xr:uid="{B698D98E-E04B-43A6-A84D-9D53F522946B}"/>
    <dataValidation allowBlank="1" showInputMessage="1" showErrorMessage="1" prompt="Enter Employee Name, Email and Phone in cells at right" sqref="D2" xr:uid="{E93C8913-87FC-46B1-97C1-D4C7826D785B}"/>
    <dataValidation allowBlank="1" showErrorMessage="1" sqref="G6:G7 B18:G1048576 B9:G16 F17:G17 A2:A1048576 F2 B2:B3 H1:XFD1 H6:XFD1048576 H2:J5 M2:XFD5 D2:E4" xr:uid="{FF226AA4-965A-44EC-BDD1-0810786C01B4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4E3A-3AA1-44DD-99CA-D5BCF05A9F1C}">
  <sheetPr codeName="Sheet6">
    <tabColor theme="4"/>
    <pageSetUpPr fitToPage="1"/>
  </sheetPr>
  <dimension ref="A1:H16"/>
  <sheetViews>
    <sheetView showGridLines="0" topLeftCell="A2" zoomScale="60" zoomScaleNormal="60" workbookViewId="0">
      <selection activeCell="D3" sqref="D3:E3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x14ac:dyDescent="0.55000000000000004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 t="s">
        <v>13</v>
      </c>
      <c r="E3" s="26"/>
      <c r="F3" s="5">
        <v>45047</v>
      </c>
      <c r="G3" s="5">
        <f>F3+6</f>
        <v>45053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1.6666666666666665</v>
      </c>
      <c r="D7" s="12"/>
      <c r="E7" s="11">
        <f>SUM(TimeSheet76[Contracted Hours])</f>
        <v>1.6666666666666665</v>
      </c>
      <c r="F7" s="11">
        <f>SUM(TimeSheet76[Additional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45047</v>
      </c>
      <c r="C9" s="17">
        <v>0.33333333333333331</v>
      </c>
      <c r="D9" s="17">
        <v>0.66666666666666663</v>
      </c>
      <c r="E9" s="18">
        <v>0.33333333333333331</v>
      </c>
      <c r="F9" s="18"/>
      <c r="G9" s="19">
        <f>TimeSheet72[[#This Row],[Contracted Hours]]+TimeSheet72[[#This Row],[Additional Hours]]</f>
        <v>0.33333333333333331</v>
      </c>
      <c r="H9" s="4"/>
    </row>
    <row r="10" spans="1:8" ht="50.1" customHeight="1" x14ac:dyDescent="0.55000000000000004">
      <c r="A10" s="4"/>
      <c r="B10" s="16">
        <f t="shared" ref="B10:B15" si="0">B9+1</f>
        <v>45048</v>
      </c>
      <c r="C10" s="17">
        <v>0.33333333333333331</v>
      </c>
      <c r="D10" s="17">
        <v>0.66666666666666663</v>
      </c>
      <c r="E10" s="18">
        <v>0.33333333333333331</v>
      </c>
      <c r="F10" s="18"/>
      <c r="G10" s="19">
        <f>TimeSheet72[[#This Row],[Contracted Hours]]+TimeSheet72[[#This Row],[Additional Hours]]</f>
        <v>0.33333333333333331</v>
      </c>
      <c r="H10" s="4"/>
    </row>
    <row r="11" spans="1:8" ht="50.1" customHeight="1" x14ac:dyDescent="0.55000000000000004">
      <c r="A11" s="4"/>
      <c r="B11" s="16">
        <f t="shared" si="0"/>
        <v>45049</v>
      </c>
      <c r="C11" s="17">
        <v>0.33333333333333331</v>
      </c>
      <c r="D11" s="17">
        <v>0.66666666666666663</v>
      </c>
      <c r="E11" s="18">
        <v>0.33333333333333331</v>
      </c>
      <c r="F11" s="18"/>
      <c r="G11" s="19">
        <f>TimeSheet72[[#This Row],[Contracted Hours]]+TimeSheet72[[#This Row],[Additional Hours]]</f>
        <v>0.33333333333333331</v>
      </c>
      <c r="H11" s="4"/>
    </row>
    <row r="12" spans="1:8" ht="50.1" customHeight="1" x14ac:dyDescent="0.55000000000000004">
      <c r="A12" s="4"/>
      <c r="B12" s="16">
        <f t="shared" si="0"/>
        <v>45050</v>
      </c>
      <c r="C12" s="17">
        <v>0.33333333333333331</v>
      </c>
      <c r="D12" s="17">
        <v>0.66666666666666663</v>
      </c>
      <c r="E12" s="18">
        <v>0.33333333333333331</v>
      </c>
      <c r="F12" s="18"/>
      <c r="G12" s="19">
        <f>TimeSheet72[[#This Row],[Contracted Hours]]+TimeSheet72[[#This Row],[Additional Hours]]</f>
        <v>0.33333333333333331</v>
      </c>
      <c r="H12" s="4"/>
    </row>
    <row r="13" spans="1:8" ht="50.1" customHeight="1" x14ac:dyDescent="0.55000000000000004">
      <c r="A13" s="4"/>
      <c r="B13" s="16">
        <f t="shared" si="0"/>
        <v>45051</v>
      </c>
      <c r="C13" s="17">
        <v>0.33333333333333331</v>
      </c>
      <c r="D13" s="17">
        <v>0.66666666666666663</v>
      </c>
      <c r="E13" s="18">
        <v>0.33333333333333331</v>
      </c>
      <c r="F13" s="18"/>
      <c r="G13" s="19">
        <f>TimeSheet72[[#This Row],[Contracted Hours]]+TimeSheet72[[#This Row],[Additional Hours]]</f>
        <v>0.33333333333333331</v>
      </c>
      <c r="H13" s="4"/>
    </row>
    <row r="14" spans="1:8" ht="50.1" customHeight="1" x14ac:dyDescent="0.55000000000000004">
      <c r="A14" s="4"/>
      <c r="B14" s="16">
        <f t="shared" si="0"/>
        <v>45052</v>
      </c>
      <c r="C14" s="17"/>
      <c r="D14" s="17"/>
      <c r="E14" s="18"/>
      <c r="F14" s="18"/>
      <c r="G14" s="19">
        <f>TimeSheet72[[#This Row],[Contracted Hours]]+TimeSheet72[[#This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45053</v>
      </c>
      <c r="C15" s="17"/>
      <c r="D15" s="17"/>
      <c r="E15" s="18"/>
      <c r="F15" s="18"/>
      <c r="G15" s="19">
        <f>TimeSheet72[[#This Row],[Contracted Hours]]+TimeSheet72[[#This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DAE4ABB0-5364-42FA-BD73-4D007AD77ABB}"/>
    <dataValidation allowBlank="1" showInputMessage="1" showErrorMessage="1" prompt="Enter Period Start Date in this cell" sqref="F2" xr:uid="{DC0AEB00-7E8C-408D-9C24-9D810C48B7F4}"/>
    <dataValidation allowBlank="1" showInputMessage="1" showErrorMessage="1" prompt="Enter Employee Email in this cell" sqref="D4" xr:uid="{D5D4F011-E02A-41A2-8D6D-D0F85B7A2C61}"/>
    <dataValidation allowBlank="1" showInputMessage="1" showErrorMessage="1" prompt="Enter Employee Name in this cell" sqref="D3" xr:uid="{7BAC7A88-8F2F-436E-83BE-D775FC04D010}"/>
    <dataValidation allowBlank="1" showInputMessage="1" showErrorMessage="1" prompt="Enter any Additional Hours in this column under this heading" sqref="F8" xr:uid="{75BC8BF7-08D4-4A90-AB36-85B502B0FA50}"/>
    <dataValidation allowBlank="1" showInputMessage="1" showErrorMessage="1" prompt="Enter Contracted Hours in this column under this heading" sqref="E8" xr:uid="{3F61BF99-A7C3-4CD8-999E-8285563035DF}"/>
    <dataValidation allowBlank="1" showInputMessage="1" showErrorMessage="1" prompt="Enter Finish Time in this column under this heading" sqref="D8" xr:uid="{B96D5A4D-61C8-4DF4-A14C-13A7D9D5181B}"/>
    <dataValidation allowBlank="1" showInputMessage="1" showErrorMessage="1" prompt="Enter Start Time in this column under this heading" sqref="C8" xr:uid="{1CEDF83D-DD30-4392-8F33-F5E1A7515D12}"/>
    <dataValidation allowBlank="1" showInputMessage="1" showErrorMessage="1" prompt="Enter Date in this column under this heading. Use heading filters to find specific entries" sqref="B8" xr:uid="{5182FFD4-E28D-4409-A3D7-94455AAE911D}"/>
    <dataValidation allowBlank="1" showInputMessage="1" showErrorMessage="1" prompt="Additional Hours are automatically calculated in this cell" sqref="F7" xr:uid="{7BCD1966-2132-4027-8787-7C76CB2976C8}"/>
    <dataValidation allowBlank="1" showInputMessage="1" showErrorMessage="1" prompt="Contract Hours are automatically calculated in this cell" sqref="E7" xr:uid="{DF84CE67-A0ED-4FFA-9223-B6735CF162A4}"/>
    <dataValidation allowBlank="1" showInputMessage="1" showErrorMessage="1" prompt="Total Hours Worked are automatically calculated in this cell" sqref="D7" xr:uid="{335446BB-9CCE-43EB-9F16-94A2175895AE}"/>
    <dataValidation allowBlank="1" showInputMessage="1" showErrorMessage="1" prompt="Total Worked Hours are automatically calculated in this cell" sqref="C7" xr:uid="{91902F29-B7FE-4983-8E31-E4F0E58B88D8}"/>
    <dataValidation allowBlank="1" showInputMessage="1" showErrorMessage="1" prompt="Total Additional Hours worked are automatically calculated in this column under this heading" sqref="F6" xr:uid="{88F4CBA1-2AEE-4F31-8E54-EAA4ADF87E5E}"/>
    <dataValidation allowBlank="1" showInputMessage="1" showErrorMessage="1" prompt="Total Contract Hours worked are automatically calculated in this column under this heading" sqref="E6" xr:uid="{41F3CDBA-C779-43E7-9B2E-847E9A6ADE85}"/>
    <dataValidation allowBlank="1" showInputMessage="1" showErrorMessage="1" prompt="Total Hours Worked are automatically calculated in cell below" sqref="D6" xr:uid="{DDB3B6E8-4E9A-424B-82F7-AEAAF754B26D}"/>
    <dataValidation allowBlank="1" showInputMessage="1" showErrorMessage="1" prompt="Total Hours Worked are automatically calculated in this column under this heading" sqref="C6 G8" xr:uid="{44D4C5E9-4497-4834-A7D3-543C27FC93A6}"/>
    <dataValidation allowBlank="1" showInputMessage="1" showErrorMessage="1" prompt="Enter Manager Name in this cell" sqref="B3" xr:uid="{773C0D9C-F89C-4476-BF68-6762DA8F699F}"/>
    <dataValidation allowBlank="1" showInputMessage="1" showErrorMessage="1" prompt="Enter Manager Name in cells at right" sqref="B2" xr:uid="{E3F1A0FC-5BAE-4410-BC7F-D9C9F2C0481D}"/>
    <dataValidation allowBlank="1" showInputMessage="1" showErrorMessage="1" prompt="Enter Employee Name, Email and Phone in cells at right" sqref="D2" xr:uid="{E2BD42DD-4231-4BFE-85FB-08AD249AF8D5}"/>
    <dataValidation allowBlank="1" showErrorMessage="1" sqref="G6:G7 B18:G1048576 B9:G16 F17:G17 A2:A1048576 F2 B2:B3 H1:XFD1 H6:XFD1048576 H2:J5 M2:XFD5 D2:E4" xr:uid="{990E74CC-5546-4263-9036-A0D5A2C8FD9F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CB1B-1016-4870-A305-DCE58B7391D5}">
  <sheetPr codeName="Sheet7">
    <tabColor theme="4"/>
    <pageSetUpPr fitToPage="1"/>
  </sheetPr>
  <dimension ref="A1:H16"/>
  <sheetViews>
    <sheetView showGridLines="0" topLeftCell="A8" zoomScale="60" zoomScaleNormal="60" workbookViewId="0">
      <selection activeCell="C9" sqref="C9:E13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x14ac:dyDescent="0.55000000000000004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 t="s">
        <v>13</v>
      </c>
      <c r="E3" s="26"/>
      <c r="F3" s="5">
        <v>45054</v>
      </c>
      <c r="G3" s="5">
        <f>F3+6</f>
        <v>45060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1.6666666666666665</v>
      </c>
      <c r="D7" s="12"/>
      <c r="E7" s="11">
        <f>SUM(TimeSheet77[Contracted Hours])</f>
        <v>1.6666666666666665</v>
      </c>
      <c r="F7" s="11">
        <f>SUM(TimeSheet77[Additional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45054</v>
      </c>
      <c r="C9" s="17">
        <v>0.33333333333333331</v>
      </c>
      <c r="D9" s="17">
        <v>0.66666666666666663</v>
      </c>
      <c r="E9" s="18">
        <v>0.33333333333333331</v>
      </c>
      <c r="F9" s="18"/>
      <c r="G9" s="19">
        <f>TimeSheet72[[#This Row],[Contracted Hours]]+TimeSheet72[[#This Row],[Additional Hours]]</f>
        <v>0.33333333333333331</v>
      </c>
      <c r="H9" s="4"/>
    </row>
    <row r="10" spans="1:8" ht="50.1" customHeight="1" x14ac:dyDescent="0.55000000000000004">
      <c r="A10" s="4"/>
      <c r="B10" s="16">
        <f t="shared" ref="B10:B15" si="0">B9+1</f>
        <v>45055</v>
      </c>
      <c r="C10" s="17">
        <v>0.33333333333333331</v>
      </c>
      <c r="D10" s="17">
        <v>0.66666666666666663</v>
      </c>
      <c r="E10" s="18">
        <v>0.33333333333333331</v>
      </c>
      <c r="F10" s="18"/>
      <c r="G10" s="19">
        <f>TimeSheet72[[#This Row],[Contracted Hours]]+TimeSheet72[[#This Row],[Additional Hours]]</f>
        <v>0.33333333333333331</v>
      </c>
      <c r="H10" s="4"/>
    </row>
    <row r="11" spans="1:8" ht="50.1" customHeight="1" x14ac:dyDescent="0.55000000000000004">
      <c r="A11" s="4"/>
      <c r="B11" s="16">
        <f t="shared" si="0"/>
        <v>45056</v>
      </c>
      <c r="C11" s="17">
        <v>0.33333333333333331</v>
      </c>
      <c r="D11" s="17">
        <v>0.66666666666666663</v>
      </c>
      <c r="E11" s="18">
        <v>0.33333333333333331</v>
      </c>
      <c r="F11" s="18"/>
      <c r="G11" s="19">
        <f>TimeSheet72[[#This Row],[Contracted Hours]]+TimeSheet72[[#This Row],[Additional Hours]]</f>
        <v>0.33333333333333331</v>
      </c>
      <c r="H11" s="4"/>
    </row>
    <row r="12" spans="1:8" ht="50.1" customHeight="1" x14ac:dyDescent="0.55000000000000004">
      <c r="A12" s="4"/>
      <c r="B12" s="16">
        <f t="shared" si="0"/>
        <v>45057</v>
      </c>
      <c r="C12" s="17">
        <v>0.33333333333333331</v>
      </c>
      <c r="D12" s="17">
        <v>0.66666666666666663</v>
      </c>
      <c r="E12" s="18">
        <v>0.33333333333333331</v>
      </c>
      <c r="F12" s="18"/>
      <c r="G12" s="19">
        <f>TimeSheet72[[#This Row],[Contracted Hours]]+TimeSheet72[[#This Row],[Additional Hours]]</f>
        <v>0.33333333333333331</v>
      </c>
      <c r="H12" s="4"/>
    </row>
    <row r="13" spans="1:8" ht="50.1" customHeight="1" x14ac:dyDescent="0.55000000000000004">
      <c r="A13" s="4"/>
      <c r="B13" s="16">
        <f t="shared" si="0"/>
        <v>45058</v>
      </c>
      <c r="C13" s="17">
        <v>0.33333333333333331</v>
      </c>
      <c r="D13" s="17">
        <v>0.66666666666666663</v>
      </c>
      <c r="E13" s="18">
        <v>0.33333333333333331</v>
      </c>
      <c r="F13" s="18"/>
      <c r="G13" s="19">
        <f>TimeSheet72[[#This Row],[Contracted Hours]]+TimeSheet72[[#This Row],[Additional Hours]]</f>
        <v>0.33333333333333331</v>
      </c>
      <c r="H13" s="4"/>
    </row>
    <row r="14" spans="1:8" ht="50.1" customHeight="1" x14ac:dyDescent="0.55000000000000004">
      <c r="A14" s="4"/>
      <c r="B14" s="16">
        <f t="shared" si="0"/>
        <v>45059</v>
      </c>
      <c r="C14" s="17"/>
      <c r="D14" s="17"/>
      <c r="E14" s="18"/>
      <c r="F14" s="18"/>
      <c r="G14" s="19">
        <f>TimeSheet72[[#This Row],[Contracted Hours]]+TimeSheet72[[#This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45060</v>
      </c>
      <c r="C15" s="17"/>
      <c r="D15" s="17"/>
      <c r="E15" s="18"/>
      <c r="F15" s="18"/>
      <c r="G15" s="19">
        <f>TimeSheet72[[#This Row],[Contracted Hours]]+TimeSheet72[[#This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09B0881A-557D-4000-96FD-EFE6CADEC321}"/>
    <dataValidation allowBlank="1" showInputMessage="1" showErrorMessage="1" prompt="Enter Period Start Date in this cell" sqref="F2" xr:uid="{E41799D3-F84B-429C-AD1D-D99054B4B172}"/>
    <dataValidation allowBlank="1" showInputMessage="1" showErrorMessage="1" prompt="Enter Employee Email in this cell" sqref="D4" xr:uid="{BA58FD04-8F1B-4EF0-9669-29B95A584A99}"/>
    <dataValidation allowBlank="1" showInputMessage="1" showErrorMessage="1" prompt="Enter Employee Name in this cell" sqref="D3" xr:uid="{0DE9E401-00EF-45A9-A40F-AB59BA3CE8D6}"/>
    <dataValidation allowBlank="1" showInputMessage="1" showErrorMessage="1" prompt="Enter any Additional Hours in this column under this heading" sqref="F8" xr:uid="{E03C7510-E3B6-4151-B21E-9317C9983327}"/>
    <dataValidation allowBlank="1" showInputMessage="1" showErrorMessage="1" prompt="Enter Contracted Hours in this column under this heading" sqref="E8" xr:uid="{B6D5BAC0-844C-45FB-AADC-B524651A85C5}"/>
    <dataValidation allowBlank="1" showInputMessage="1" showErrorMessage="1" prompt="Enter Finish Time in this column under this heading" sqref="D8" xr:uid="{B3E39F54-9692-4D39-8702-06F3B1437D2B}"/>
    <dataValidation allowBlank="1" showInputMessage="1" showErrorMessage="1" prompt="Enter Start Time in this column under this heading" sqref="C8" xr:uid="{A9056CB8-AA69-42F6-9B40-6D7D17CEEB00}"/>
    <dataValidation allowBlank="1" showInputMessage="1" showErrorMessage="1" prompt="Enter Date in this column under this heading. Use heading filters to find specific entries" sqref="B8" xr:uid="{BA5893B5-A167-49E5-80D7-6D19237F2DDF}"/>
    <dataValidation allowBlank="1" showInputMessage="1" showErrorMessage="1" prompt="Additional Hours are automatically calculated in this cell" sqref="F7" xr:uid="{F8C3254B-E252-4D99-BC2B-19305556586D}"/>
    <dataValidation allowBlank="1" showInputMessage="1" showErrorMessage="1" prompt="Contract Hours are automatically calculated in this cell" sqref="E7" xr:uid="{5F648507-B09C-4CAE-B477-2183A5521DA3}"/>
    <dataValidation allowBlank="1" showInputMessage="1" showErrorMessage="1" prompt="Total Hours Worked are automatically calculated in this cell" sqref="D7" xr:uid="{BFC63B64-A0BE-4257-BE5A-4CA53627804F}"/>
    <dataValidation allowBlank="1" showInputMessage="1" showErrorMessage="1" prompt="Total Worked Hours are automatically calculated in this cell" sqref="C7" xr:uid="{85031841-C8E4-4B59-BE5C-C0B2E43B0F8C}"/>
    <dataValidation allowBlank="1" showInputMessage="1" showErrorMessage="1" prompt="Total Additional Hours worked are automatically calculated in this column under this heading" sqref="F6" xr:uid="{2F584BCC-102B-4F0A-986E-65281EABDB92}"/>
    <dataValidation allowBlank="1" showInputMessage="1" showErrorMessage="1" prompt="Total Contract Hours worked are automatically calculated in this column under this heading" sqref="E6" xr:uid="{90CA2B08-D08A-4476-9D75-0ECAC1708E09}"/>
    <dataValidation allowBlank="1" showInputMessage="1" showErrorMessage="1" prompt="Total Hours Worked are automatically calculated in cell below" sqref="D6" xr:uid="{2C39D649-C566-4C0D-9AC0-363FACB2F4B0}"/>
    <dataValidation allowBlank="1" showInputMessage="1" showErrorMessage="1" prompt="Total Hours Worked are automatically calculated in this column under this heading" sqref="C6 G8" xr:uid="{5C37390D-978E-4FCD-A9EF-2F7B81C3B54E}"/>
    <dataValidation allowBlank="1" showInputMessage="1" showErrorMessage="1" prompt="Enter Manager Name in this cell" sqref="B3" xr:uid="{4738103D-F4E2-4E87-A709-576D33A53393}"/>
    <dataValidation allowBlank="1" showInputMessage="1" showErrorMessage="1" prompt="Enter Manager Name in cells at right" sqref="B2" xr:uid="{790ACB86-FF7A-4FB4-B822-72E3451009BE}"/>
    <dataValidation allowBlank="1" showInputMessage="1" showErrorMessage="1" prompt="Enter Employee Name, Email and Phone in cells at right" sqref="D2" xr:uid="{868D96ED-5D0E-49B7-981D-6728F6B852D0}"/>
    <dataValidation allowBlank="1" showErrorMessage="1" sqref="G6:G7 B18:G1048576 B9:G16 F17:G17 A2:A1048576 F2 B2:B3 H1:XFD1 H6:XFD1048576 H2:J5 M2:XFD5 D2:E4" xr:uid="{BAEC1AB0-A899-4EC7-8734-B3879B59D538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4365-FE45-4C24-8C34-B2B3F6B737D4}">
  <sheetPr codeName="Sheet8">
    <tabColor theme="4"/>
    <pageSetUpPr fitToPage="1"/>
  </sheetPr>
  <dimension ref="A1:H16"/>
  <sheetViews>
    <sheetView showGridLines="0" topLeftCell="A7" zoomScale="60" zoomScaleNormal="60" workbookViewId="0">
      <selection activeCell="C9" sqref="C9:E13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x14ac:dyDescent="0.55000000000000004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 t="s">
        <v>13</v>
      </c>
      <c r="E3" s="26"/>
      <c r="F3" s="5">
        <v>45061</v>
      </c>
      <c r="G3" s="5">
        <f>F3+6</f>
        <v>45067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1.6666666666666665</v>
      </c>
      <c r="D7" s="12"/>
      <c r="E7" s="11">
        <f>SUM(TimeSheet78[Contracted Hours])</f>
        <v>1.6666666666666665</v>
      </c>
      <c r="F7" s="11">
        <f>SUM(TimeSheet78[Additional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45061</v>
      </c>
      <c r="C9" s="17">
        <v>0.33333333333333331</v>
      </c>
      <c r="D9" s="17">
        <v>0.66666666666666663</v>
      </c>
      <c r="E9" s="18">
        <v>0.33333333333333331</v>
      </c>
      <c r="F9" s="18"/>
      <c r="G9" s="19">
        <f>TimeSheet78[[#This Row],[Contracted Hours]]+TimeSheet78[[#This Row],[Additional Hours]]</f>
        <v>0.33333333333333331</v>
      </c>
      <c r="H9" s="4"/>
    </row>
    <row r="10" spans="1:8" ht="50.1" customHeight="1" x14ac:dyDescent="0.55000000000000004">
      <c r="A10" s="4"/>
      <c r="B10" s="16">
        <f t="shared" ref="B10:B15" si="0">B9+1</f>
        <v>45062</v>
      </c>
      <c r="C10" s="17">
        <v>0.33333333333333331</v>
      </c>
      <c r="D10" s="17">
        <v>0.66666666666666663</v>
      </c>
      <c r="E10" s="18">
        <v>0.33333333333333331</v>
      </c>
      <c r="F10" s="18"/>
      <c r="G10" s="19">
        <f>TimeSheet78[[#This Row],[Contracted Hours]]+TimeSheet78[[#This Row],[Additional Hours]]</f>
        <v>0.33333333333333331</v>
      </c>
      <c r="H10" s="4"/>
    </row>
    <row r="11" spans="1:8" ht="50.1" customHeight="1" x14ac:dyDescent="0.55000000000000004">
      <c r="A11" s="4"/>
      <c r="B11" s="16">
        <f t="shared" si="0"/>
        <v>45063</v>
      </c>
      <c r="C11" s="17">
        <v>0.33333333333333331</v>
      </c>
      <c r="D11" s="17">
        <v>0.66666666666666663</v>
      </c>
      <c r="E11" s="18">
        <v>0.33333333333333331</v>
      </c>
      <c r="F11" s="18"/>
      <c r="G11" s="19">
        <f>TimeSheet78[[#This Row],[Contracted Hours]]+TimeSheet78[[#This Row],[Additional Hours]]</f>
        <v>0.33333333333333331</v>
      </c>
      <c r="H11" s="4"/>
    </row>
    <row r="12" spans="1:8" ht="50.1" customHeight="1" x14ac:dyDescent="0.55000000000000004">
      <c r="A12" s="4"/>
      <c r="B12" s="16">
        <f t="shared" si="0"/>
        <v>45064</v>
      </c>
      <c r="C12" s="17">
        <v>0.33333333333333331</v>
      </c>
      <c r="D12" s="17">
        <v>0.66666666666666663</v>
      </c>
      <c r="E12" s="18">
        <v>0.33333333333333331</v>
      </c>
      <c r="F12" s="18"/>
      <c r="G12" s="19">
        <f>TimeSheet78[[#This Row],[Contracted Hours]]+TimeSheet78[[#This Row],[Additional Hours]]</f>
        <v>0.33333333333333331</v>
      </c>
      <c r="H12" s="4"/>
    </row>
    <row r="13" spans="1:8" ht="50.1" customHeight="1" x14ac:dyDescent="0.55000000000000004">
      <c r="A13" s="4"/>
      <c r="B13" s="16">
        <f t="shared" si="0"/>
        <v>45065</v>
      </c>
      <c r="C13" s="17">
        <v>0.33333333333333331</v>
      </c>
      <c r="D13" s="17">
        <v>0.66666666666666663</v>
      </c>
      <c r="E13" s="18">
        <v>0.33333333333333331</v>
      </c>
      <c r="F13" s="18"/>
      <c r="G13" s="19">
        <f>TimeSheet78[[#This Row],[Contracted Hours]]+TimeSheet78[[#This Row],[Additional Hours]]</f>
        <v>0.33333333333333331</v>
      </c>
      <c r="H13" s="4"/>
    </row>
    <row r="14" spans="1:8" ht="50.1" customHeight="1" x14ac:dyDescent="0.55000000000000004">
      <c r="A14" s="4"/>
      <c r="B14" s="16">
        <f t="shared" si="0"/>
        <v>45066</v>
      </c>
      <c r="C14" s="17"/>
      <c r="D14" s="17"/>
      <c r="E14" s="18"/>
      <c r="F14" s="18"/>
      <c r="G14" s="19">
        <f>TimeSheet78[[#This Row],[Contracted Hours]]+TimeSheet78[[#This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45067</v>
      </c>
      <c r="C15" s="17"/>
      <c r="D15" s="17"/>
      <c r="E15" s="18"/>
      <c r="F15" s="18"/>
      <c r="G15" s="19">
        <f>TimeSheet78[[#This Row],[Contracted Hours]]+TimeSheet78[[#This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A95B810A-A5B6-4293-9354-EBABCAAC6E0F}"/>
    <dataValidation allowBlank="1" showInputMessage="1" showErrorMessage="1" prompt="Enter Period Start Date in this cell" sqref="F2" xr:uid="{0C19B510-3D5D-49C2-88FA-BE1C055E3ED3}"/>
    <dataValidation allowBlank="1" showInputMessage="1" showErrorMessage="1" prompt="Enter Employee Email in this cell" sqref="D4" xr:uid="{678DB3FB-463C-4A97-97E5-C7A303ADFBB3}"/>
    <dataValidation allowBlank="1" showInputMessage="1" showErrorMessage="1" prompt="Enter Employee Name in this cell" sqref="D3" xr:uid="{6B5C05D5-6285-4B78-8591-ADE812299980}"/>
    <dataValidation allowBlank="1" showInputMessage="1" showErrorMessage="1" prompt="Enter any Additional Hours in this column under this heading" sqref="F8" xr:uid="{3F9F9606-CF43-499A-83C0-1DB5C8FD597C}"/>
    <dataValidation allowBlank="1" showInputMessage="1" showErrorMessage="1" prompt="Enter Contracted Hours in this column under this heading" sqref="E8" xr:uid="{3E19A0A7-418C-49DB-83BC-C09DF2D6C018}"/>
    <dataValidation allowBlank="1" showInputMessage="1" showErrorMessage="1" prompt="Enter Finish Time in this column under this heading" sqref="D8" xr:uid="{023D15F2-BA45-40B7-8ADC-E2E89B273747}"/>
    <dataValidation allowBlank="1" showInputMessage="1" showErrorMessage="1" prompt="Enter Start Time in this column under this heading" sqref="C8" xr:uid="{1F47FCD6-4D52-4A3F-9187-F4E34F7F60BF}"/>
    <dataValidation allowBlank="1" showInputMessage="1" showErrorMessage="1" prompt="Enter Date in this column under this heading. Use heading filters to find specific entries" sqref="B8" xr:uid="{F528B1C3-41AD-46F2-8C59-9712F611A7D8}"/>
    <dataValidation allowBlank="1" showInputMessage="1" showErrorMessage="1" prompt="Additional Hours are automatically calculated in this cell" sqref="F7" xr:uid="{FECCD2CC-54EA-4623-A985-3A59046E0B7D}"/>
    <dataValidation allowBlank="1" showInputMessage="1" showErrorMessage="1" prompt="Contract Hours are automatically calculated in this cell" sqref="E7" xr:uid="{870AE2DD-32D3-45FB-A3DE-7B26A15044C3}"/>
    <dataValidation allowBlank="1" showInputMessage="1" showErrorMessage="1" prompt="Total Hours Worked are automatically calculated in this cell" sqref="D7" xr:uid="{644B803B-C427-4471-8971-A4D74356CD22}"/>
    <dataValidation allowBlank="1" showInputMessage="1" showErrorMessage="1" prompt="Total Worked Hours are automatically calculated in this cell" sqref="C7" xr:uid="{E84F932D-4963-465F-AA1C-5004359B552F}"/>
    <dataValidation allowBlank="1" showInputMessage="1" showErrorMessage="1" prompt="Total Additional Hours worked are automatically calculated in this column under this heading" sqref="F6" xr:uid="{7F8030C7-894F-4169-B98F-C073D40ED738}"/>
    <dataValidation allowBlank="1" showInputMessage="1" showErrorMessage="1" prompt="Total Contract Hours worked are automatically calculated in this column under this heading" sqref="E6" xr:uid="{F86DA48C-7E44-40CA-8B7E-55399BB46259}"/>
    <dataValidation allowBlank="1" showInputMessage="1" showErrorMessage="1" prompt="Total Hours Worked are automatically calculated in cell below" sqref="D6" xr:uid="{21298072-58F7-4708-B560-4B15337D2CD6}"/>
    <dataValidation allowBlank="1" showInputMessage="1" showErrorMessage="1" prompt="Total Hours Worked are automatically calculated in this column under this heading" sqref="C6 G8" xr:uid="{74F9C53F-4C0E-43E4-AC6D-45D2404FA0EE}"/>
    <dataValidation allowBlank="1" showInputMessage="1" showErrorMessage="1" prompt="Enter Manager Name in this cell" sqref="B3" xr:uid="{375D975A-3D4F-4A73-A47A-E17FE183DACD}"/>
    <dataValidation allowBlank="1" showInputMessage="1" showErrorMessage="1" prompt="Enter Manager Name in cells at right" sqref="B2" xr:uid="{D90CAE95-2550-4AEE-8415-A6BE91A63DDA}"/>
    <dataValidation allowBlank="1" showInputMessage="1" showErrorMessage="1" prompt="Enter Employee Name, Email and Phone in cells at right" sqref="D2" xr:uid="{C482D404-0716-4B9A-AE38-2A37717087EC}"/>
    <dataValidation allowBlank="1" showErrorMessage="1" sqref="G6:G7 B18:G1048576 D2:E4 F17:G17 A2:A1048576 F2 B2:B3 H1:XFD1 H6:XFD1048576 H2:J5 M2:XFD5 B9:G16" xr:uid="{8C184547-E1EF-438E-9AB5-0F0DB9FCFFD7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2987-5BBC-42B5-8F4B-A7021C079F15}">
  <sheetPr codeName="Sheet9">
    <tabColor theme="4"/>
    <pageSetUpPr fitToPage="1"/>
  </sheetPr>
  <dimension ref="A1:H16"/>
  <sheetViews>
    <sheetView showGridLines="0" topLeftCell="A7" zoomScale="60" zoomScaleNormal="60" workbookViewId="0">
      <selection activeCell="C9" sqref="C9:E9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45068</v>
      </c>
      <c r="G3" s="5">
        <f>F3+6</f>
        <v>45074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1.6666666666666665</v>
      </c>
      <c r="D7" s="12"/>
      <c r="E7" s="11">
        <f>SUM(TimeSheet79[Contracted Hours])</f>
        <v>1.6666666666666665</v>
      </c>
      <c r="F7" s="11">
        <f>SUM(TimeSheet79[Additional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45068</v>
      </c>
      <c r="C9" s="17">
        <v>0.33333333333333331</v>
      </c>
      <c r="D9" s="17">
        <v>0.66666666666666663</v>
      </c>
      <c r="E9" s="18">
        <v>0.33333333333333331</v>
      </c>
      <c r="F9" s="18"/>
      <c r="G9" s="19">
        <f>TimeSheet79[[#This Row],[Contracted Hours]]+TimeSheet79[[#This Row],[Additional Hours]]</f>
        <v>0.33333333333333331</v>
      </c>
      <c r="H9" s="4"/>
    </row>
    <row r="10" spans="1:8" ht="50.1" customHeight="1" x14ac:dyDescent="0.55000000000000004">
      <c r="A10" s="4"/>
      <c r="B10" s="16">
        <f t="shared" ref="B10:B15" si="0">B9+1</f>
        <v>45069</v>
      </c>
      <c r="C10" s="17">
        <v>0.33333333333333331</v>
      </c>
      <c r="D10" s="17">
        <v>0.66666666666666663</v>
      </c>
      <c r="E10" s="18">
        <v>0.33333333333333331</v>
      </c>
      <c r="F10" s="18"/>
      <c r="G10" s="19">
        <f>TimeSheet79[[#This Row],[Contracted Hours]]+TimeSheet79[[#This Row],[Additional Hours]]</f>
        <v>0.33333333333333331</v>
      </c>
      <c r="H10" s="4"/>
    </row>
    <row r="11" spans="1:8" ht="50.1" customHeight="1" x14ac:dyDescent="0.55000000000000004">
      <c r="A11" s="4"/>
      <c r="B11" s="16">
        <f t="shared" si="0"/>
        <v>45070</v>
      </c>
      <c r="C11" s="17">
        <v>0.33333333333333331</v>
      </c>
      <c r="D11" s="17">
        <v>0.66666666666666663</v>
      </c>
      <c r="E11" s="18">
        <v>0.33333333333333331</v>
      </c>
      <c r="F11" s="18"/>
      <c r="G11" s="19">
        <f>TimeSheet79[[#This Row],[Contracted Hours]]+TimeSheet79[[#This Row],[Additional Hours]]</f>
        <v>0.33333333333333331</v>
      </c>
      <c r="H11" s="4"/>
    </row>
    <row r="12" spans="1:8" ht="50.1" customHeight="1" x14ac:dyDescent="0.55000000000000004">
      <c r="A12" s="4"/>
      <c r="B12" s="16">
        <f t="shared" si="0"/>
        <v>45071</v>
      </c>
      <c r="C12" s="17">
        <v>0.33333333333333331</v>
      </c>
      <c r="D12" s="17">
        <v>0.66666666666666663</v>
      </c>
      <c r="E12" s="18">
        <v>0.33333333333333331</v>
      </c>
      <c r="F12" s="18"/>
      <c r="G12" s="19">
        <f>TimeSheet79[[#This Row],[Contracted Hours]]+TimeSheet79[[#This Row],[Additional Hours]]</f>
        <v>0.33333333333333331</v>
      </c>
      <c r="H12" s="4"/>
    </row>
    <row r="13" spans="1:8" ht="50.1" customHeight="1" x14ac:dyDescent="0.55000000000000004">
      <c r="A13" s="4"/>
      <c r="B13" s="16">
        <f t="shared" si="0"/>
        <v>45072</v>
      </c>
      <c r="C13" s="17">
        <v>0.33333333333333331</v>
      </c>
      <c r="D13" s="17">
        <v>0.66666666666666663</v>
      </c>
      <c r="E13" s="18">
        <v>0.33333333333333331</v>
      </c>
      <c r="F13" s="18"/>
      <c r="G13" s="19">
        <f>TimeSheet79[[#This Row],[Contracted Hours]]+TimeSheet79[[#This Row],[Additional Hours]]</f>
        <v>0.33333333333333331</v>
      </c>
      <c r="H13" s="4"/>
    </row>
    <row r="14" spans="1:8" ht="50.1" customHeight="1" x14ac:dyDescent="0.55000000000000004">
      <c r="A14" s="4"/>
      <c r="B14" s="16">
        <f t="shared" si="0"/>
        <v>45073</v>
      </c>
      <c r="C14" s="17"/>
      <c r="D14" s="17"/>
      <c r="E14" s="18"/>
      <c r="F14" s="18"/>
      <c r="G14" s="19">
        <f>TimeSheet79[[#This Row],[Contracted Hours]]+TimeSheet79[[#This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45074</v>
      </c>
      <c r="C15" s="17"/>
      <c r="D15" s="17"/>
      <c r="E15" s="18"/>
      <c r="F15" s="18"/>
      <c r="G15" s="19">
        <f>TimeSheet79[[#This Row],[Contracted Hours]]+TimeSheet79[[#This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3AA256D0-50CA-42CD-8FA9-CC88DEBB7B98}"/>
    <dataValidation allowBlank="1" showInputMessage="1" showErrorMessage="1" prompt="Enter Period Start Date in this cell" sqref="F2" xr:uid="{5B0DA913-0E2C-4376-A6DC-8E915A4EBB5A}"/>
    <dataValidation allowBlank="1" showInputMessage="1" showErrorMessage="1" prompt="Enter Employee Email in this cell" sqref="D4" xr:uid="{8E67768C-B6CF-4ED2-A7B8-318748E60929}"/>
    <dataValidation allowBlank="1" showInputMessage="1" showErrorMessage="1" prompt="Enter Employee Name in this cell" sqref="D3" xr:uid="{F85850E0-7354-455B-9C8E-5A42D23C1E2B}"/>
    <dataValidation allowBlank="1" showInputMessage="1" showErrorMessage="1" prompt="Enter any Additional Hours in this column under this heading" sqref="F8" xr:uid="{E2A24CB0-06AD-43A9-899B-A33BC1F53D53}"/>
    <dataValidation allowBlank="1" showInputMessage="1" showErrorMessage="1" prompt="Enter Contracted Hours in this column under this heading" sqref="E8" xr:uid="{4685D965-5EA8-479A-BDAB-37AF5E0E291D}"/>
    <dataValidation allowBlank="1" showInputMessage="1" showErrorMessage="1" prompt="Enter Finish Time in this column under this heading" sqref="D8" xr:uid="{94B358D2-14BE-4AB0-BE63-30848D2BD942}"/>
    <dataValidation allowBlank="1" showInputMessage="1" showErrorMessage="1" prompt="Enter Start Time in this column under this heading" sqref="C8" xr:uid="{4D28D4DE-CC17-4C73-80E4-2B0C4A4E9409}"/>
    <dataValidation allowBlank="1" showInputMessage="1" showErrorMessage="1" prompt="Enter Date in this column under this heading. Use heading filters to find specific entries" sqref="B8" xr:uid="{FF2F13FD-70CE-4A77-A059-EC52B1ABD53A}"/>
    <dataValidation allowBlank="1" showInputMessage="1" showErrorMessage="1" prompt="Additional Hours are automatically calculated in this cell" sqref="F7" xr:uid="{E4BFB9E3-0290-444D-9B2F-0009931076A1}"/>
    <dataValidation allowBlank="1" showInputMessage="1" showErrorMessage="1" prompt="Contract Hours are automatically calculated in this cell" sqref="E7" xr:uid="{60BF73AB-C538-4BB1-9812-0344BE025E67}"/>
    <dataValidation allowBlank="1" showInputMessage="1" showErrorMessage="1" prompt="Total Hours Worked are automatically calculated in this cell" sqref="D7" xr:uid="{00783B42-0596-4A18-BB3D-38B8DA9E81F2}"/>
    <dataValidation allowBlank="1" showInputMessage="1" showErrorMessage="1" prompt="Total Worked Hours are automatically calculated in this cell" sqref="C7" xr:uid="{860F7385-7DB1-4789-BFD6-52719184B9A9}"/>
    <dataValidation allowBlank="1" showInputMessage="1" showErrorMessage="1" prompt="Total Additional Hours worked are automatically calculated in this column under this heading" sqref="F6" xr:uid="{89AE7CE7-D9AB-4A6D-AF44-AF2DFC270DA1}"/>
    <dataValidation allowBlank="1" showInputMessage="1" showErrorMessage="1" prompt="Total Contract Hours worked are automatically calculated in this column under this heading" sqref="E6" xr:uid="{D7ED0206-A065-475F-B98C-1B13C0C55451}"/>
    <dataValidation allowBlank="1" showInputMessage="1" showErrorMessage="1" prompt="Total Hours Worked are automatically calculated in cell below" sqref="D6" xr:uid="{132CC763-4FF6-4869-8AF3-3AF2959F97FE}"/>
    <dataValidation allowBlank="1" showInputMessage="1" showErrorMessage="1" prompt="Total Hours Worked are automatically calculated in this column under this heading" sqref="C6 G8" xr:uid="{676C678F-F91D-45AD-A9DE-36EB56E73D3D}"/>
    <dataValidation allowBlank="1" showInputMessage="1" showErrorMessage="1" prompt="Enter Manager Name in this cell" sqref="B3" xr:uid="{4F4C123B-34C4-49C1-8338-C0A82ABF1A5B}"/>
    <dataValidation allowBlank="1" showInputMessage="1" showErrorMessage="1" prompt="Enter Manager Name in cells at right" sqref="B2" xr:uid="{2CCE92F0-F6DD-4A0F-8199-5030B562860D}"/>
    <dataValidation allowBlank="1" showInputMessage="1" showErrorMessage="1" prompt="Enter Employee Name, Email and Phone in cells at right" sqref="D2" xr:uid="{79A284E5-38B9-458A-A081-FCF01A914629}"/>
    <dataValidation allowBlank="1" showErrorMessage="1" sqref="G6:G7 B18:G1048576 D2:E4 F17:G17 A2:A1048576 F2 B2:B3 H1:XFD1 H6:XFD1048576 H2:J5 M2:XFD5 B9:G16" xr:uid="{7464B18D-AE73-4CF8-BC7B-94BC2AEC6384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852D-07FA-4297-A86E-23833D83DCEC}">
  <sheetPr codeName="Sheet10">
    <tabColor theme="4"/>
    <pageSetUpPr fitToPage="1"/>
  </sheetPr>
  <dimension ref="A1:H16"/>
  <sheetViews>
    <sheetView showGridLines="0" topLeftCell="A6" zoomScale="60" zoomScaleNormal="60" workbookViewId="0">
      <selection activeCell="C9" sqref="C9:G9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45075</v>
      </c>
      <c r="G3" s="5">
        <f>F3+6</f>
        <v>45081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0.33333333333333331</v>
      </c>
      <c r="D7" s="12"/>
      <c r="E7" s="11">
        <f>SUM(TimeSheet80[Contracted Hours])</f>
        <v>0.33333333333333331</v>
      </c>
      <c r="F7" s="11">
        <f>SUM(TimeSheet80[Additional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45075</v>
      </c>
      <c r="C9" s="17">
        <v>0.33333333333333331</v>
      </c>
      <c r="D9" s="17">
        <v>0.66666666666666663</v>
      </c>
      <c r="E9" s="18">
        <v>0.33333333333333331</v>
      </c>
      <c r="F9" s="18"/>
      <c r="G9" s="19">
        <f>TimeSheet80[[#This Row],[Contracted Hours]]+TimeSheet80[[#This Row],[Additional Hours]]</f>
        <v>0.33333333333333331</v>
      </c>
      <c r="H9" s="4"/>
    </row>
    <row r="10" spans="1:8" ht="50.1" customHeight="1" x14ac:dyDescent="0.55000000000000004">
      <c r="A10" s="4"/>
      <c r="B10" s="16">
        <f t="shared" ref="B10:B15" si="0">B9+1</f>
        <v>45076</v>
      </c>
      <c r="C10" s="17"/>
      <c r="D10" s="17"/>
      <c r="E10" s="18"/>
      <c r="F10" s="18"/>
      <c r="G10" s="19">
        <f>TimeSheet80[[#This Row],[Contracted Hours]]+TimeSheet80[[#This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45077</v>
      </c>
      <c r="C11" s="17"/>
      <c r="D11" s="17"/>
      <c r="E11" s="18"/>
      <c r="F11" s="18"/>
      <c r="G11" s="19">
        <f>TimeSheet80[[#This Row],[Contracted Hours]]+TimeSheet80[[#This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45078</v>
      </c>
      <c r="C12" s="17"/>
      <c r="D12" s="17"/>
      <c r="E12" s="18"/>
      <c r="F12" s="18"/>
      <c r="G12" s="19">
        <f>TimeSheet80[[#This Row],[Contracted Hours]]+TimeSheet80[[#This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45079</v>
      </c>
      <c r="C13" s="17"/>
      <c r="D13" s="17"/>
      <c r="E13" s="18"/>
      <c r="F13" s="18"/>
      <c r="G13" s="19">
        <f>TimeSheet80[[#This Row],[Contracted Hours]]+TimeSheet80[[#This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45080</v>
      </c>
      <c r="C14" s="17"/>
      <c r="D14" s="17"/>
      <c r="E14" s="18"/>
      <c r="F14" s="18"/>
      <c r="G14" s="19">
        <f>TimeSheet80[[#This Row],[Contracted Hours]]+TimeSheet80[[#This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45081</v>
      </c>
      <c r="C15" s="17"/>
      <c r="D15" s="17"/>
      <c r="E15" s="18"/>
      <c r="F15" s="18"/>
      <c r="G15" s="19">
        <f>TimeSheet80[[#This Row],[Contracted Hours]]+TimeSheet80[[#This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4DD96086-FE14-4785-B20B-5F98BEC6D6E0}"/>
    <dataValidation allowBlank="1" showInputMessage="1" showErrorMessage="1" prompt="Enter Period Start Date in this cell" sqref="F2" xr:uid="{DABE037A-7BD7-4259-8648-7908A11E48CE}"/>
    <dataValidation allowBlank="1" showInputMessage="1" showErrorMessage="1" prompt="Enter Employee Email in this cell" sqref="D4" xr:uid="{15AC33AB-DBA1-4CFC-865F-F37866075057}"/>
    <dataValidation allowBlank="1" showInputMessage="1" showErrorMessage="1" prompt="Enter Employee Name in this cell" sqref="D3" xr:uid="{599CF383-4882-4A02-9F16-975D2C7699BC}"/>
    <dataValidation allowBlank="1" showInputMessage="1" showErrorMessage="1" prompt="Enter any Additional Hours in this column under this heading" sqref="F8" xr:uid="{60692EA6-9450-4706-B43F-E996FFA3271B}"/>
    <dataValidation allowBlank="1" showInputMessage="1" showErrorMessage="1" prompt="Enter Contracted Hours in this column under this heading" sqref="E8" xr:uid="{E47A5E13-4C9A-4372-B66B-C413074E51C9}"/>
    <dataValidation allowBlank="1" showInputMessage="1" showErrorMessage="1" prompt="Enter Finish Time in this column under this heading" sqref="D8" xr:uid="{8BFC67A6-4E98-48EA-8154-8EC882179E38}"/>
    <dataValidation allowBlank="1" showInputMessage="1" showErrorMessage="1" prompt="Enter Start Time in this column under this heading" sqref="C8" xr:uid="{D5A5BBC7-2743-4D6A-A0B0-69FE260CB7B8}"/>
    <dataValidation allowBlank="1" showInputMessage="1" showErrorMessage="1" prompt="Enter Date in this column under this heading. Use heading filters to find specific entries" sqref="B8" xr:uid="{34CF25FE-4D10-4989-BF55-F8C7D2083E18}"/>
    <dataValidation allowBlank="1" showInputMessage="1" showErrorMessage="1" prompt="Additional Hours are automatically calculated in this cell" sqref="F7" xr:uid="{6B8791D4-91E3-4FBC-9E85-E6ADCC4309B7}"/>
    <dataValidation allowBlank="1" showInputMessage="1" showErrorMessage="1" prompt="Contract Hours are automatically calculated in this cell" sqref="E7" xr:uid="{48CC4D3E-0E3D-4F16-A0A1-11C26008F0E8}"/>
    <dataValidation allowBlank="1" showInputMessage="1" showErrorMessage="1" prompt="Total Hours Worked are automatically calculated in this cell" sqref="D7" xr:uid="{F056DCB3-357E-49A8-B2EC-879C2A42B64F}"/>
    <dataValidation allowBlank="1" showInputMessage="1" showErrorMessage="1" prompt="Total Worked Hours are automatically calculated in this cell" sqref="C7" xr:uid="{2A4FE2AC-9F3B-42CF-B3D1-E1A9F0CCDA36}"/>
    <dataValidation allowBlank="1" showInputMessage="1" showErrorMessage="1" prompt="Total Additional Hours worked are automatically calculated in this column under this heading" sqref="F6" xr:uid="{195F69B1-074A-49FA-8329-012C74EAE39A}"/>
    <dataValidation allowBlank="1" showInputMessage="1" showErrorMessage="1" prompt="Total Contract Hours worked are automatically calculated in this column under this heading" sqref="E6" xr:uid="{AA3C0EF0-C867-44C1-87A9-7041A575C7C5}"/>
    <dataValidation allowBlank="1" showInputMessage="1" showErrorMessage="1" prompt="Total Hours Worked are automatically calculated in cell below" sqref="D6" xr:uid="{60487500-3952-414A-9882-D1CAD71E0BB8}"/>
    <dataValidation allowBlank="1" showInputMessage="1" showErrorMessage="1" prompt="Total Hours Worked are automatically calculated in this column under this heading" sqref="C6 G8" xr:uid="{64BC383C-3277-4EDB-83D7-6FDF97F5432C}"/>
    <dataValidation allowBlank="1" showInputMessage="1" showErrorMessage="1" prompt="Enter Manager Name in this cell" sqref="B3" xr:uid="{2EA7A0F8-4ACD-4336-B146-65A46E3CC87C}"/>
    <dataValidation allowBlank="1" showInputMessage="1" showErrorMessage="1" prompt="Enter Manager Name in cells at right" sqref="B2" xr:uid="{9D84A693-9711-4D38-9F06-BD446614045F}"/>
    <dataValidation allowBlank="1" showInputMessage="1" showErrorMessage="1" prompt="Enter Employee Name, Email and Phone in cells at right" sqref="D2" xr:uid="{491EB941-B222-45AB-9D16-73BB660047C6}"/>
    <dataValidation allowBlank="1" showErrorMessage="1" sqref="G6:G7 B18:G1048576 D2:E4 F17:G17 A2:A1048576 F2 B2:B3 H1:XFD1 H6:XFD1048576 H2:J5 M2:XFD5 B9:G16" xr:uid="{771EBAA2-25A6-4895-811E-864DE1CE006F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95B1-6DD1-4BFB-B610-2FC00B15BF4B}">
  <sheetPr codeName="Sheet11">
    <tabColor theme="4"/>
    <pageSetUpPr fitToPage="1"/>
  </sheetPr>
  <dimension ref="A1:H16"/>
  <sheetViews>
    <sheetView showGridLines="0" zoomScale="60" zoomScaleNormal="60" workbookViewId="0">
      <selection activeCell="C9" sqref="C9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45082</v>
      </c>
      <c r="G3" s="5">
        <f>F3+6</f>
        <v>45088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</v>
      </c>
      <c r="D7" s="12"/>
      <c r="E7" s="11">
        <f>SUM(TimeSheet81[Contracted Hours])</f>
        <v>0</v>
      </c>
      <c r="F7" s="11">
        <f>SUM(TimeSheet81[Additional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45082</v>
      </c>
      <c r="C9" s="17"/>
      <c r="D9" s="17"/>
      <c r="E9" s="18"/>
      <c r="F9" s="18"/>
      <c r="G9" s="19">
        <f>TimeSheet81[[#This Row],[Contracted Hours]]+TimeSheet81[[#This Row],[Additional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45083</v>
      </c>
      <c r="C10" s="17"/>
      <c r="D10" s="17"/>
      <c r="E10" s="18"/>
      <c r="F10" s="18"/>
      <c r="G10" s="19">
        <f>TimeSheet81[[#This Row],[Contracted Hours]]+TimeSheet81[[#This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45084</v>
      </c>
      <c r="C11" s="17"/>
      <c r="D11" s="17"/>
      <c r="E11" s="18"/>
      <c r="F11" s="18"/>
      <c r="G11" s="19">
        <f>TimeSheet81[[#This Row],[Contracted Hours]]+TimeSheet81[[#This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45085</v>
      </c>
      <c r="C12" s="17"/>
      <c r="D12" s="17"/>
      <c r="E12" s="18"/>
      <c r="F12" s="18"/>
      <c r="G12" s="19">
        <f>TimeSheet81[[#This Row],[Contracted Hours]]+TimeSheet81[[#This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45086</v>
      </c>
      <c r="C13" s="17"/>
      <c r="D13" s="17"/>
      <c r="E13" s="18"/>
      <c r="F13" s="18"/>
      <c r="G13" s="19">
        <f>TimeSheet81[[#This Row],[Contracted Hours]]+TimeSheet81[[#This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45087</v>
      </c>
      <c r="C14" s="17"/>
      <c r="D14" s="17"/>
      <c r="E14" s="18"/>
      <c r="F14" s="18"/>
      <c r="G14" s="19">
        <f>TimeSheet81[[#This Row],[Contracted Hours]]+TimeSheet81[[#This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45088</v>
      </c>
      <c r="C15" s="17"/>
      <c r="D15" s="17"/>
      <c r="E15" s="18"/>
      <c r="F15" s="18"/>
      <c r="G15" s="19">
        <f>TimeSheet81[[#This Row],[Contracted Hours]]+TimeSheet81[[#This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2F8BF331-5DBF-4727-8A87-C420B84C69B5}"/>
    <dataValidation allowBlank="1" showInputMessage="1" showErrorMessage="1" prompt="Enter Period Start Date in this cell" sqref="F2" xr:uid="{B8A276D1-02F1-4446-B172-338EEE09C2EA}"/>
    <dataValidation allowBlank="1" showInputMessage="1" showErrorMessage="1" prompt="Enter Employee Email in this cell" sqref="D4" xr:uid="{B6249B69-B217-4C83-81C9-01811914D082}"/>
    <dataValidation allowBlank="1" showInputMessage="1" showErrorMessage="1" prompt="Enter Employee Name in this cell" sqref="D3" xr:uid="{8B80BEAA-A41F-4698-9254-251FE9464C47}"/>
    <dataValidation allowBlank="1" showInputMessage="1" showErrorMessage="1" prompt="Enter any Additional Hours in this column under this heading" sqref="F8" xr:uid="{AC85623B-1182-468D-B46B-9FC79ED6BC82}"/>
    <dataValidation allowBlank="1" showInputMessage="1" showErrorMessage="1" prompt="Enter Contracted Hours in this column under this heading" sqref="E8" xr:uid="{71ED3162-A41E-4272-AEC2-BC6C2C5B4C35}"/>
    <dataValidation allowBlank="1" showInputMessage="1" showErrorMessage="1" prompt="Enter Finish Time in this column under this heading" sqref="D8" xr:uid="{D676C684-99DB-46D2-B2C8-CC2351558B41}"/>
    <dataValidation allowBlank="1" showInputMessage="1" showErrorMessage="1" prompt="Enter Start Time in this column under this heading" sqref="C8" xr:uid="{DC0B72D9-9BF9-4FF6-8164-20F6A1E38441}"/>
    <dataValidation allowBlank="1" showInputMessage="1" showErrorMessage="1" prompt="Enter Date in this column under this heading. Use heading filters to find specific entries" sqref="B8" xr:uid="{AA6C1AD7-FCB6-48F7-A18C-A1E2069A4F3A}"/>
    <dataValidation allowBlank="1" showInputMessage="1" showErrorMessage="1" prompt="Additional Hours are automatically calculated in this cell" sqref="F7" xr:uid="{9C33CDD8-7EF2-4007-91D6-C08699499C0C}"/>
    <dataValidation allowBlank="1" showInputMessage="1" showErrorMessage="1" prompt="Contract Hours are automatically calculated in this cell" sqref="E7" xr:uid="{BFFD8E76-5DE8-4DB8-AFBF-5E2BFB78A3A0}"/>
    <dataValidation allowBlank="1" showInputMessage="1" showErrorMessage="1" prompt="Total Hours Worked are automatically calculated in this cell" sqref="D7" xr:uid="{D042B661-FDC3-40D7-8742-6D4B9D7150C5}"/>
    <dataValidation allowBlank="1" showInputMessage="1" showErrorMessage="1" prompt="Total Worked Hours are automatically calculated in this cell" sqref="C7" xr:uid="{B901D0E4-B52C-4BEA-9C1B-80B59B40DF51}"/>
    <dataValidation allowBlank="1" showInputMessage="1" showErrorMessage="1" prompt="Total Additional Hours worked are automatically calculated in this column under this heading" sqref="F6" xr:uid="{3CBFDFF5-E53D-424B-90DB-C00349463744}"/>
    <dataValidation allowBlank="1" showInputMessage="1" showErrorMessage="1" prompt="Total Contract Hours worked are automatically calculated in this column under this heading" sqref="E6" xr:uid="{A656E5B6-B264-49E7-A715-5E35052249DD}"/>
    <dataValidation allowBlank="1" showInputMessage="1" showErrorMessage="1" prompt="Total Hours Worked are automatically calculated in cell below" sqref="D6" xr:uid="{6F3537D4-6808-4636-B5F8-931219F941C7}"/>
    <dataValidation allowBlank="1" showInputMessage="1" showErrorMessage="1" prompt="Total Hours Worked are automatically calculated in this column under this heading" sqref="C6 G8" xr:uid="{936302DE-BBE7-4F44-B899-0025A4C8F95D}"/>
    <dataValidation allowBlank="1" showInputMessage="1" showErrorMessage="1" prompt="Enter Manager Name in this cell" sqref="B3" xr:uid="{0613EC96-C8A7-4B58-9AF8-E416A7379B78}"/>
    <dataValidation allowBlank="1" showInputMessage="1" showErrorMessage="1" prompt="Enter Manager Name in cells at right" sqref="B2" xr:uid="{D8F73F0D-6B71-448C-9C9F-7CD1BB7601A0}"/>
    <dataValidation allowBlank="1" showInputMessage="1" showErrorMessage="1" prompt="Enter Employee Name, Email and Phone in cells at right" sqref="D2" xr:uid="{2047FE28-1712-4F1D-B0BC-43699FCFF8C5}"/>
    <dataValidation allowBlank="1" showErrorMessage="1" sqref="G6:G7 B18:G1048576 B9:G16 F17:G17 A2:A1048576 F2 B2:B3 H1:XFD1 H6:XFD1048576 H2:J5 M2:XFD5 D2:E4" xr:uid="{EE9171A3-9534-4EA3-BF36-D0CEC29FF056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5AFE-118B-44F9-9C96-1761335A6059}">
  <sheetPr codeName="Sheet12">
    <tabColor theme="4"/>
    <pageSetUpPr fitToPage="1"/>
  </sheetPr>
  <dimension ref="A1:H16"/>
  <sheetViews>
    <sheetView showGridLines="0" zoomScale="60" zoomScaleNormal="60" workbookViewId="0">
      <selection activeCell="C9" sqref="C9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45089</v>
      </c>
      <c r="G3" s="5">
        <f>F3+6</f>
        <v>45095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</v>
      </c>
      <c r="D7" s="12"/>
      <c r="E7" s="11">
        <f>SUM(TimeSheet82[Contracted Hours])</f>
        <v>0</v>
      </c>
      <c r="F7" s="11">
        <f>SUM(TimeSheet82[Additional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45089</v>
      </c>
      <c r="C9" s="17"/>
      <c r="D9" s="17"/>
      <c r="E9" s="18"/>
      <c r="F9" s="18"/>
      <c r="G9" s="19">
        <f>TimeSheet82[[#This Row],[Contracted Hours]]+TimeSheet82[[#This Row],[Additional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45090</v>
      </c>
      <c r="C10" s="17"/>
      <c r="D10" s="17"/>
      <c r="E10" s="18"/>
      <c r="F10" s="18"/>
      <c r="G10" s="19">
        <f>TimeSheet82[[#This Row],[Contracted Hours]]+TimeSheet82[[#This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45091</v>
      </c>
      <c r="C11" s="17"/>
      <c r="D11" s="17"/>
      <c r="E11" s="18"/>
      <c r="F11" s="18"/>
      <c r="G11" s="19">
        <f>TimeSheet82[[#This Row],[Contracted Hours]]+TimeSheet82[[#This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45092</v>
      </c>
      <c r="C12" s="17"/>
      <c r="D12" s="17"/>
      <c r="E12" s="18"/>
      <c r="F12" s="18"/>
      <c r="G12" s="19">
        <f>TimeSheet82[[#This Row],[Contracted Hours]]+TimeSheet82[[#This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45093</v>
      </c>
      <c r="C13" s="17"/>
      <c r="D13" s="17"/>
      <c r="E13" s="18"/>
      <c r="F13" s="18"/>
      <c r="G13" s="19">
        <f>TimeSheet82[[#This Row],[Contracted Hours]]+TimeSheet82[[#This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45094</v>
      </c>
      <c r="C14" s="17"/>
      <c r="D14" s="17"/>
      <c r="E14" s="18"/>
      <c r="F14" s="18"/>
      <c r="G14" s="19">
        <f>TimeSheet82[[#This Row],[Contracted Hours]]+TimeSheet82[[#This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45095</v>
      </c>
      <c r="C15" s="17"/>
      <c r="D15" s="17"/>
      <c r="E15" s="18"/>
      <c r="F15" s="18"/>
      <c r="G15" s="19">
        <f>TimeSheet82[[#This Row],[Contracted Hours]]+TimeSheet82[[#This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15CAA07B-9206-4038-A5D1-78AF010F8683}"/>
    <dataValidation allowBlank="1" showInputMessage="1" showErrorMessage="1" prompt="Enter Period Start Date in this cell" sqref="F2" xr:uid="{8BD272ED-D7D5-4331-9CBB-575592E1ECCC}"/>
    <dataValidation allowBlank="1" showInputMessage="1" showErrorMessage="1" prompt="Enter Employee Email in this cell" sqref="D4" xr:uid="{85E166AB-DC31-4827-B5E1-D7896B553B59}"/>
    <dataValidation allowBlank="1" showInputMessage="1" showErrorMessage="1" prompt="Enter Employee Name in this cell" sqref="D3" xr:uid="{4CFE94A2-C30A-48B2-B439-AE9CB5FA3D5F}"/>
    <dataValidation allowBlank="1" showInputMessage="1" showErrorMessage="1" prompt="Enter any Additional Hours in this column under this heading" sqref="F8" xr:uid="{7D050C11-998C-4286-9B63-BBE51CD44990}"/>
    <dataValidation allowBlank="1" showInputMessage="1" showErrorMessage="1" prompt="Enter Contracted Hours in this column under this heading" sqref="E8" xr:uid="{A8BE7FD3-50BE-40EA-91CF-BB2C0389B1FC}"/>
    <dataValidation allowBlank="1" showInputMessage="1" showErrorMessage="1" prompt="Enter Finish Time in this column under this heading" sqref="D8" xr:uid="{897D43FD-07C1-45D6-92CE-DC1BB76606F8}"/>
    <dataValidation allowBlank="1" showInputMessage="1" showErrorMessage="1" prompt="Enter Start Time in this column under this heading" sqref="C8" xr:uid="{6FE92BAD-1140-4020-A282-91B4D503D7F7}"/>
    <dataValidation allowBlank="1" showInputMessage="1" showErrorMessage="1" prompt="Enter Date in this column under this heading. Use heading filters to find specific entries" sqref="B8" xr:uid="{3EB3FC5F-6D76-4317-AAB1-6C31754EF710}"/>
    <dataValidation allowBlank="1" showInputMessage="1" showErrorMessage="1" prompt="Additional Hours are automatically calculated in this cell" sqref="F7" xr:uid="{4F90385E-2CA6-4AE4-A0C3-5983C5623234}"/>
    <dataValidation allowBlank="1" showInputMessage="1" showErrorMessage="1" prompt="Contract Hours are automatically calculated in this cell" sqref="E7" xr:uid="{A4F198B2-04ED-4534-9402-1907EFDE168D}"/>
    <dataValidation allowBlank="1" showInputMessage="1" showErrorMessage="1" prompt="Total Hours Worked are automatically calculated in this cell" sqref="D7" xr:uid="{42728A81-0D85-4117-8B16-218994AADA6D}"/>
    <dataValidation allowBlank="1" showInputMessage="1" showErrorMessage="1" prompt="Total Worked Hours are automatically calculated in this cell" sqref="C7" xr:uid="{C2BE946A-9A02-4FFE-84B3-BA061E59C74E}"/>
    <dataValidation allowBlank="1" showInputMessage="1" showErrorMessage="1" prompt="Total Additional Hours worked are automatically calculated in this column under this heading" sqref="F6" xr:uid="{B70D022E-74B9-4C21-8C92-1F4721824B0B}"/>
    <dataValidation allowBlank="1" showInputMessage="1" showErrorMessage="1" prompt="Total Contract Hours worked are automatically calculated in this column under this heading" sqref="E6" xr:uid="{FD75C73B-E1CD-4FBF-B429-6020E975E645}"/>
    <dataValidation allowBlank="1" showInputMessage="1" showErrorMessage="1" prompt="Total Hours Worked are automatically calculated in cell below" sqref="D6" xr:uid="{33A341E4-C955-4691-8EA9-AAC3DA7DCBA7}"/>
    <dataValidation allowBlank="1" showInputMessage="1" showErrorMessage="1" prompt="Total Hours Worked are automatically calculated in this column under this heading" sqref="C6 G8" xr:uid="{D2D28478-EEE3-4BCC-A90B-66DDEE35B5E2}"/>
    <dataValidation allowBlank="1" showInputMessage="1" showErrorMessage="1" prompt="Enter Manager Name in this cell" sqref="B3" xr:uid="{7B78DF20-CCA3-4485-A343-8FBD9E6DD5FC}"/>
    <dataValidation allowBlank="1" showInputMessage="1" showErrorMessage="1" prompt="Enter Manager Name in cells at right" sqref="B2" xr:uid="{3B7D501A-D04E-4F6B-A105-D196A6FC2C88}"/>
    <dataValidation allowBlank="1" showInputMessage="1" showErrorMessage="1" prompt="Enter Employee Name, Email and Phone in cells at right" sqref="D2" xr:uid="{DD80E5B6-BC9C-4CC7-8446-D6E89875F131}"/>
    <dataValidation allowBlank="1" showErrorMessage="1" sqref="G6:G7 B18:G1048576 B9:G16 F17:G17 A2:A1048576 F2 B2:B3 H1:XFD1 H6:XFD1048576 H2:J5 M2:XFD5 D2:E4" xr:uid="{611F33B9-434F-40D5-A001-0C53462384A8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C8E2-60D7-4B71-9521-438C21F36102}">
  <sheetPr codeName="Sheet13">
    <tabColor theme="4"/>
    <pageSetUpPr fitToPage="1"/>
  </sheetPr>
  <dimension ref="A1:H16"/>
  <sheetViews>
    <sheetView showGridLines="0" zoomScale="60" zoomScaleNormal="60" workbookViewId="0">
      <selection activeCell="C9" sqref="C9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45096</v>
      </c>
      <c r="G3" s="5">
        <f>F3+6</f>
        <v>45102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</v>
      </c>
      <c r="D7" s="12"/>
      <c r="E7" s="11">
        <f>SUM(TimeSheet83[Contracted Hours])</f>
        <v>0</v>
      </c>
      <c r="F7" s="11">
        <f>SUM(TimeSheet83[Additional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45096</v>
      </c>
      <c r="C9" s="17"/>
      <c r="D9" s="17"/>
      <c r="E9" s="18"/>
      <c r="F9" s="18"/>
      <c r="G9" s="19">
        <f>TimeSheet83[[#This Row],[Contracted Hours]]+TimeSheet83[[#This Row],[Additional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45097</v>
      </c>
      <c r="C10" s="17"/>
      <c r="D10" s="17"/>
      <c r="E10" s="18"/>
      <c r="F10" s="18"/>
      <c r="G10" s="19">
        <f>TimeSheet83[[#This Row],[Contracted Hours]]+TimeSheet83[[#This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45098</v>
      </c>
      <c r="C11" s="17"/>
      <c r="D11" s="17"/>
      <c r="E11" s="18"/>
      <c r="F11" s="18"/>
      <c r="G11" s="19">
        <f>TimeSheet83[[#This Row],[Contracted Hours]]+TimeSheet83[[#This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45099</v>
      </c>
      <c r="C12" s="17"/>
      <c r="D12" s="17"/>
      <c r="E12" s="18"/>
      <c r="F12" s="18"/>
      <c r="G12" s="19">
        <f>TimeSheet83[[#This Row],[Contracted Hours]]+TimeSheet83[[#This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45100</v>
      </c>
      <c r="C13" s="17"/>
      <c r="D13" s="17"/>
      <c r="E13" s="18"/>
      <c r="F13" s="18"/>
      <c r="G13" s="19">
        <f>TimeSheet83[[#This Row],[Contracted Hours]]+TimeSheet83[[#This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45101</v>
      </c>
      <c r="C14" s="17"/>
      <c r="D14" s="17"/>
      <c r="E14" s="18"/>
      <c r="F14" s="18"/>
      <c r="G14" s="19">
        <f>TimeSheet83[[#This Row],[Contracted Hours]]+TimeSheet83[[#This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45102</v>
      </c>
      <c r="C15" s="17"/>
      <c r="D15" s="17"/>
      <c r="E15" s="18"/>
      <c r="F15" s="18"/>
      <c r="G15" s="19">
        <f>TimeSheet83[[#This Row],[Contracted Hours]]+TimeSheet83[[#This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E1A50431-97C7-4743-91F2-FE3F16CFBCAA}"/>
    <dataValidation allowBlank="1" showInputMessage="1" showErrorMessage="1" prompt="Enter Period Start Date in this cell" sqref="F2" xr:uid="{6E932F9E-EBB3-4EB0-9C7B-95FDBFDB6913}"/>
    <dataValidation allowBlank="1" showInputMessage="1" showErrorMessage="1" prompt="Enter Employee Email in this cell" sqref="D4" xr:uid="{4E38CC3F-05D3-4F47-B01E-3DBA6906D79D}"/>
    <dataValidation allowBlank="1" showInputMessage="1" showErrorMessage="1" prompt="Enter Employee Name in this cell" sqref="D3" xr:uid="{398AD6E2-18EF-4549-B660-8289A60C5D67}"/>
    <dataValidation allowBlank="1" showInputMessage="1" showErrorMessage="1" prompt="Enter any Additional Hours in this column under this heading" sqref="F8" xr:uid="{4F74BD28-A0FB-4F7C-8966-36D705AB6F52}"/>
    <dataValidation allowBlank="1" showInputMessage="1" showErrorMessage="1" prompt="Enter Contracted Hours in this column under this heading" sqref="E8" xr:uid="{F94DCF96-9FDB-4BD2-95CC-CEF161B97145}"/>
    <dataValidation allowBlank="1" showInputMessage="1" showErrorMessage="1" prompt="Enter Finish Time in this column under this heading" sqref="D8" xr:uid="{BE9C198D-BC5F-4459-8FDE-6C35F8A8BC22}"/>
    <dataValidation allowBlank="1" showInputMessage="1" showErrorMessage="1" prompt="Enter Start Time in this column under this heading" sqref="C8" xr:uid="{D6502FAD-48D5-412B-82A7-71F0EF0D3969}"/>
    <dataValidation allowBlank="1" showInputMessage="1" showErrorMessage="1" prompt="Enter Date in this column under this heading. Use heading filters to find specific entries" sqref="B8" xr:uid="{705D70B0-CE2F-4793-977A-D1E78528099D}"/>
    <dataValidation allowBlank="1" showInputMessage="1" showErrorMessage="1" prompt="Additional Hours are automatically calculated in this cell" sqref="F7" xr:uid="{542DD23A-0F54-4B8B-BB5A-8F1F4B8A9DDE}"/>
    <dataValidation allowBlank="1" showInputMessage="1" showErrorMessage="1" prompt="Contract Hours are automatically calculated in this cell" sqref="E7" xr:uid="{161EA64C-6EAF-40D3-93A6-CA95D1BB67E0}"/>
    <dataValidation allowBlank="1" showInputMessage="1" showErrorMessage="1" prompt="Total Hours Worked are automatically calculated in this cell" sqref="D7" xr:uid="{4E91188F-846C-46E3-A1C1-43618A69338E}"/>
    <dataValidation allowBlank="1" showInputMessage="1" showErrorMessage="1" prompt="Total Worked Hours are automatically calculated in this cell" sqref="C7" xr:uid="{9FAD5BC5-CF25-4EEA-BC6A-40157F8BFDBD}"/>
    <dataValidation allowBlank="1" showInputMessage="1" showErrorMessage="1" prompt="Total Additional Hours worked are automatically calculated in this column under this heading" sqref="F6" xr:uid="{6F175D94-A387-40E1-B361-73707B7B2821}"/>
    <dataValidation allowBlank="1" showInputMessage="1" showErrorMessage="1" prompt="Total Contract Hours worked are automatically calculated in this column under this heading" sqref="E6" xr:uid="{552BF09D-0321-444A-BA36-630909F69311}"/>
    <dataValidation allowBlank="1" showInputMessage="1" showErrorMessage="1" prompt="Total Hours Worked are automatically calculated in cell below" sqref="D6" xr:uid="{38E937F3-3FA8-4A3C-8AD0-F67AA9CE466D}"/>
    <dataValidation allowBlank="1" showInputMessage="1" showErrorMessage="1" prompt="Total Hours Worked are automatically calculated in this column under this heading" sqref="C6 G8" xr:uid="{05F05B84-B2B0-4A35-B571-91BEEF71C516}"/>
    <dataValidation allowBlank="1" showInputMessage="1" showErrorMessage="1" prompt="Enter Manager Name in this cell" sqref="B3" xr:uid="{313B65F3-061B-42D1-946E-C1B4EC5998A0}"/>
    <dataValidation allowBlank="1" showInputMessage="1" showErrorMessage="1" prompt="Enter Manager Name in cells at right" sqref="B2" xr:uid="{0314A173-41C0-42EA-A785-F7D9BDAD47BB}"/>
    <dataValidation allowBlank="1" showInputMessage="1" showErrorMessage="1" prompt="Enter Employee Name, Email and Phone in cells at right" sqref="D2" xr:uid="{60F13EB9-D607-4DDE-910B-A4A5A786D073}"/>
    <dataValidation allowBlank="1" showErrorMessage="1" sqref="G6:G7 B18:G1048576 B9:G16 F17:G17 A2:A1048576 F2 B2:B3 H1:XFD1 H6:XFD1048576 H2:J5 M2:XFD5 D2:E4" xr:uid="{010350B4-72BF-48DB-B3E4-D986221ED356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8317-1583-4384-B504-E9A856110362}">
  <sheetPr codeName="Sheet14">
    <tabColor theme="4"/>
    <pageSetUpPr fitToPage="1"/>
  </sheetPr>
  <dimension ref="A1:H16"/>
  <sheetViews>
    <sheetView showGridLines="0" zoomScale="60" zoomScaleNormal="60" workbookViewId="0">
      <selection activeCell="F21" sqref="F21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45103</v>
      </c>
      <c r="G3" s="5">
        <f>F3+6</f>
        <v>45109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</v>
      </c>
      <c r="D7" s="12"/>
      <c r="E7" s="11">
        <f>SUM(TimeSheet84[Contracted Hours])</f>
        <v>0</v>
      </c>
      <c r="F7" s="11">
        <f>SUM(TimeSheet84[Additional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45103</v>
      </c>
      <c r="C9" s="17"/>
      <c r="D9" s="17"/>
      <c r="E9" s="18"/>
      <c r="F9" s="18"/>
      <c r="G9" s="19">
        <f>TimeSheet84[[#This Row],[Contracted Hours]]+TimeSheet84[[#This Row],[Additional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45104</v>
      </c>
      <c r="C10" s="17"/>
      <c r="D10" s="17"/>
      <c r="E10" s="18"/>
      <c r="F10" s="18"/>
      <c r="G10" s="19">
        <f>TimeSheet84[[#This Row],[Contracted Hours]]+TimeSheet84[[#This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45105</v>
      </c>
      <c r="C11" s="17"/>
      <c r="D11" s="17"/>
      <c r="E11" s="18"/>
      <c r="F11" s="18"/>
      <c r="G11" s="19">
        <f>TimeSheet84[[#This Row],[Contracted Hours]]+TimeSheet84[[#This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45106</v>
      </c>
      <c r="C12" s="17"/>
      <c r="D12" s="17"/>
      <c r="E12" s="18"/>
      <c r="F12" s="18"/>
      <c r="G12" s="19">
        <f>TimeSheet84[[#This Row],[Contracted Hours]]+TimeSheet84[[#This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45107</v>
      </c>
      <c r="C13" s="17"/>
      <c r="D13" s="17"/>
      <c r="E13" s="18"/>
      <c r="F13" s="18"/>
      <c r="G13" s="19">
        <f>TimeSheet84[[#This Row],[Contracted Hours]]+TimeSheet84[[#This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45108</v>
      </c>
      <c r="C14" s="17"/>
      <c r="D14" s="17"/>
      <c r="E14" s="18"/>
      <c r="F14" s="18"/>
      <c r="G14" s="19">
        <f>TimeSheet84[[#This Row],[Contracted Hours]]+TimeSheet84[[#This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45109</v>
      </c>
      <c r="C15" s="17"/>
      <c r="D15" s="17"/>
      <c r="E15" s="18"/>
      <c r="F15" s="18"/>
      <c r="G15" s="19">
        <f>TimeSheet84[[#This Row],[Contracted Hours]]+TimeSheet84[[#This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10A3937E-0676-4A20-9FC7-8B990121B57F}"/>
    <dataValidation allowBlank="1" showInputMessage="1" showErrorMessage="1" prompt="Enter Period Start Date in this cell" sqref="F2" xr:uid="{B55AF7F1-65EC-446A-9F11-154C2AE2DA65}"/>
    <dataValidation allowBlank="1" showInputMessage="1" showErrorMessage="1" prompt="Enter Employee Email in this cell" sqref="D4" xr:uid="{A485A8A8-E1D5-4985-B6A6-DFA7D7BBCAC7}"/>
    <dataValidation allowBlank="1" showInputMessage="1" showErrorMessage="1" prompt="Enter Employee Name in this cell" sqref="D3" xr:uid="{33BE4AA6-F0C2-492D-95FE-616AEE34A10F}"/>
    <dataValidation allowBlank="1" showInputMessage="1" showErrorMessage="1" prompt="Enter any Additional Hours in this column under this heading" sqref="F8" xr:uid="{EBA3A2E8-C775-452E-A636-47764268D0C8}"/>
    <dataValidation allowBlank="1" showInputMessage="1" showErrorMessage="1" prompt="Enter Contracted Hours in this column under this heading" sqref="E8" xr:uid="{795C5AF7-4E36-42AE-9B94-82D7CEB3ECC4}"/>
    <dataValidation allowBlank="1" showInputMessage="1" showErrorMessage="1" prompt="Enter Finish Time in this column under this heading" sqref="D8" xr:uid="{D17517E7-D25C-4D69-A9F8-51895A1420A7}"/>
    <dataValidation allowBlank="1" showInputMessage="1" showErrorMessage="1" prompt="Enter Start Time in this column under this heading" sqref="C8" xr:uid="{CA74F138-9A99-4606-BE6A-3532244DA884}"/>
    <dataValidation allowBlank="1" showInputMessage="1" showErrorMessage="1" prompt="Enter Date in this column under this heading. Use heading filters to find specific entries" sqref="B8" xr:uid="{C5D65397-AFB0-4AA9-AB5A-42905D205AF7}"/>
    <dataValidation allowBlank="1" showInputMessage="1" showErrorMessage="1" prompt="Additional Hours are automatically calculated in this cell" sqref="F7" xr:uid="{2DDAF42B-3E4F-4C16-8CA3-71C928AB9EA5}"/>
    <dataValidation allowBlank="1" showInputMessage="1" showErrorMessage="1" prompt="Contract Hours are automatically calculated in this cell" sqref="E7" xr:uid="{E648EA30-11C9-4E1A-A65D-9449FD3852AC}"/>
    <dataValidation allowBlank="1" showInputMessage="1" showErrorMessage="1" prompt="Total Hours Worked are automatically calculated in this cell" sqref="D7" xr:uid="{DDC8CED1-2CD8-4256-A5E6-65175AEF15B6}"/>
    <dataValidation allowBlank="1" showInputMessage="1" showErrorMessage="1" prompt="Total Worked Hours are automatically calculated in this cell" sqref="C7" xr:uid="{F49C9015-50A3-4BE1-BAFF-52A4C0E8D3A7}"/>
    <dataValidation allowBlank="1" showInputMessage="1" showErrorMessage="1" prompt="Total Additional Hours worked are automatically calculated in this column under this heading" sqref="F6" xr:uid="{A5085D07-76CF-4E51-A16C-201CB0D5FC59}"/>
    <dataValidation allowBlank="1" showInputMessage="1" showErrorMessage="1" prompt="Total Contract Hours worked are automatically calculated in this column under this heading" sqref="E6" xr:uid="{2677B898-3A76-47F2-BE84-2AF4E189AE7D}"/>
    <dataValidation allowBlank="1" showInputMessage="1" showErrorMessage="1" prompt="Total Hours Worked are automatically calculated in cell below" sqref="D6" xr:uid="{037147C7-E017-4603-BE8C-008D8AC5E879}"/>
    <dataValidation allowBlank="1" showInputMessage="1" showErrorMessage="1" prompt="Total Hours Worked are automatically calculated in this column under this heading" sqref="C6 G8" xr:uid="{C6EE92C4-2D4B-4FA3-B515-491BE03ABD3B}"/>
    <dataValidation allowBlank="1" showInputMessage="1" showErrorMessage="1" prompt="Enter Manager Name in this cell" sqref="B3" xr:uid="{ADB21D54-3A17-4DFF-956F-F78F99AF9DB0}"/>
    <dataValidation allowBlank="1" showInputMessage="1" showErrorMessage="1" prompt="Enter Manager Name in cells at right" sqref="B2" xr:uid="{888D97C8-79D7-48CA-8910-BF6A8387C1BB}"/>
    <dataValidation allowBlank="1" showInputMessage="1" showErrorMessage="1" prompt="Enter Employee Name, Email and Phone in cells at right" sqref="D2" xr:uid="{8FFE11A8-CAA4-4983-A8EF-91F859491A49}"/>
    <dataValidation allowBlank="1" showErrorMessage="1" sqref="G6:G7 B18:G1048576 B9:G16 F17:G17 A2:A1048576 F2 B2:B3 H1:XFD1 H6:XFD1048576 H2:J5 M2:XFD5 D2:E4" xr:uid="{0F83C556-5FBB-4EC5-A94A-8012B1999206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0F66-7BEB-441D-8391-FF7225BE39FC}">
  <sheetPr codeName="Sheet15">
    <tabColor theme="4"/>
    <pageSetUpPr fitToPage="1"/>
  </sheetPr>
  <dimension ref="A1:H16"/>
  <sheetViews>
    <sheetView showGridLines="0" zoomScale="60" zoomScaleNormal="60" workbookViewId="0">
      <selection activeCell="C9" sqref="C9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45110</v>
      </c>
      <c r="G3" s="5">
        <f>F3+6</f>
        <v>45116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</v>
      </c>
      <c r="D7" s="12"/>
      <c r="E7" s="11">
        <f>SUM(TimeSheet85[Contracted Hours])</f>
        <v>0</v>
      </c>
      <c r="F7" s="11">
        <f>SUM(TimeSheet85[Additional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45110</v>
      </c>
      <c r="C9" s="17"/>
      <c r="D9" s="17"/>
      <c r="E9" s="18"/>
      <c r="F9" s="18"/>
      <c r="G9" s="19">
        <f>TimeSheet85[[#This Row],[Contracted Hours]]+TimeSheet85[[#This Row],[Additional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45111</v>
      </c>
      <c r="C10" s="17"/>
      <c r="D10" s="17"/>
      <c r="E10" s="18"/>
      <c r="F10" s="18"/>
      <c r="G10" s="19">
        <f>TimeSheet85[[#This Row],[Contracted Hours]]+TimeSheet85[[#This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45112</v>
      </c>
      <c r="C11" s="17"/>
      <c r="D11" s="17"/>
      <c r="E11" s="18"/>
      <c r="F11" s="18"/>
      <c r="G11" s="19">
        <f>TimeSheet85[[#This Row],[Contracted Hours]]+TimeSheet85[[#This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45113</v>
      </c>
      <c r="C12" s="17"/>
      <c r="D12" s="17"/>
      <c r="E12" s="18"/>
      <c r="F12" s="18"/>
      <c r="G12" s="19">
        <f>TimeSheet85[[#This Row],[Contracted Hours]]+TimeSheet85[[#This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45114</v>
      </c>
      <c r="C13" s="17"/>
      <c r="D13" s="17"/>
      <c r="E13" s="18"/>
      <c r="F13" s="18"/>
      <c r="G13" s="19">
        <f>TimeSheet85[[#This Row],[Contracted Hours]]+TimeSheet85[[#This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45115</v>
      </c>
      <c r="C14" s="17"/>
      <c r="D14" s="17"/>
      <c r="E14" s="18"/>
      <c r="F14" s="18"/>
      <c r="G14" s="19">
        <f>TimeSheet85[[#This Row],[Contracted Hours]]+TimeSheet85[[#This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45116</v>
      </c>
      <c r="C15" s="17"/>
      <c r="D15" s="17"/>
      <c r="E15" s="18"/>
      <c r="F15" s="18"/>
      <c r="G15" s="19">
        <f>TimeSheet85[[#This Row],[Contracted Hours]]+TimeSheet85[[#This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546C447D-79A6-4C8C-B52D-1BE8BC219EE1}"/>
    <dataValidation allowBlank="1" showInputMessage="1" showErrorMessage="1" prompt="Enter Period Start Date in this cell" sqref="F2" xr:uid="{6B17D831-A479-40C7-B09A-8E3D04A265FC}"/>
    <dataValidation allowBlank="1" showInputMessage="1" showErrorMessage="1" prompt="Enter Employee Email in this cell" sqref="D4" xr:uid="{FF6325D8-415B-402D-BC5C-01F7A3D5E659}"/>
    <dataValidation allowBlank="1" showInputMessage="1" showErrorMessage="1" prompt="Enter Employee Name in this cell" sqref="D3" xr:uid="{8573EF09-2428-4040-896E-883CABF83940}"/>
    <dataValidation allowBlank="1" showInputMessage="1" showErrorMessage="1" prompt="Enter any Additional Hours in this column under this heading" sqref="F8" xr:uid="{29FE4954-A4BA-4354-89BF-9319323255B8}"/>
    <dataValidation allowBlank="1" showInputMessage="1" showErrorMessage="1" prompt="Enter Contracted Hours in this column under this heading" sqref="E8" xr:uid="{C60584C2-2216-42FB-B0C9-176EF9D4D853}"/>
    <dataValidation allowBlank="1" showInputMessage="1" showErrorMessage="1" prompt="Enter Finish Time in this column under this heading" sqref="D8" xr:uid="{9337B315-20F0-491D-9D97-5C6CA5AED7D1}"/>
    <dataValidation allowBlank="1" showInputMessage="1" showErrorMessage="1" prompt="Enter Start Time in this column under this heading" sqref="C8" xr:uid="{2E41D8C6-CC24-4697-9A6F-E3A93F13725A}"/>
    <dataValidation allowBlank="1" showInputMessage="1" showErrorMessage="1" prompt="Enter Date in this column under this heading. Use heading filters to find specific entries" sqref="B8" xr:uid="{C798037F-AF78-4C87-A759-719066B636AB}"/>
    <dataValidation allowBlank="1" showInputMessage="1" showErrorMessage="1" prompt="Additional Hours are automatically calculated in this cell" sqref="F7" xr:uid="{A2C2A421-221B-4E93-989B-0D9B60304270}"/>
    <dataValidation allowBlank="1" showInputMessage="1" showErrorMessage="1" prompt="Contract Hours are automatically calculated in this cell" sqref="E7" xr:uid="{72D6058E-446C-439A-BA83-8634F596F08E}"/>
    <dataValidation allowBlank="1" showInputMessage="1" showErrorMessage="1" prompt="Total Hours Worked are automatically calculated in this cell" sqref="D7" xr:uid="{25E16CE0-B9AB-427B-97EE-46C12F011B24}"/>
    <dataValidation allowBlank="1" showInputMessage="1" showErrorMessage="1" prompt="Total Worked Hours are automatically calculated in this cell" sqref="C7" xr:uid="{7F795D64-35F1-45EE-AEE2-788E13CF29AA}"/>
    <dataValidation allowBlank="1" showInputMessage="1" showErrorMessage="1" prompt="Total Additional Hours worked are automatically calculated in this column under this heading" sqref="F6" xr:uid="{1C8973DF-96CD-4787-AF56-A4F416C3CFDB}"/>
    <dataValidation allowBlank="1" showInputMessage="1" showErrorMessage="1" prompt="Total Contract Hours worked are automatically calculated in this column under this heading" sqref="E6" xr:uid="{642EB871-2054-4F77-A982-0BDA123E859B}"/>
    <dataValidation allowBlank="1" showInputMessage="1" showErrorMessage="1" prompt="Total Hours Worked are automatically calculated in cell below" sqref="D6" xr:uid="{18484D2F-C298-43E9-927A-DEDD85F86E9B}"/>
    <dataValidation allowBlank="1" showInputMessage="1" showErrorMessage="1" prompt="Total Hours Worked are automatically calculated in this column under this heading" sqref="C6 G8" xr:uid="{0BED27AD-130D-4FFB-90B8-4EC32CB3EE3B}"/>
    <dataValidation allowBlank="1" showInputMessage="1" showErrorMessage="1" prompt="Enter Manager Name in this cell" sqref="B3" xr:uid="{E24E2E51-2829-4021-91E8-341BC2B93121}"/>
    <dataValidation allowBlank="1" showInputMessage="1" showErrorMessage="1" prompt="Enter Manager Name in cells at right" sqref="B2" xr:uid="{EC5F5F5A-07FC-4A57-90F1-8C62D5A85610}"/>
    <dataValidation allowBlank="1" showInputMessage="1" showErrorMessage="1" prompt="Enter Employee Name, Email and Phone in cells at right" sqref="D2" xr:uid="{5A436C82-CDE2-4F70-AFD5-0D593D054D20}"/>
    <dataValidation allowBlank="1" showErrorMessage="1" sqref="G6:G7 B18:G1048576 B9:G16 F17:G17 A2:A1048576 F2 B2:B3 H1:XFD1 H6:XFD1048576 H2:J5 M2:XFD5 D2:E4" xr:uid="{7B644589-EAE3-40FD-95FF-5A5F19983099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07C0-7DCC-40DC-9747-BBA481CCAB7B}">
  <sheetPr codeName="Sheet16">
    <tabColor theme="4"/>
    <pageSetUpPr fitToPage="1"/>
  </sheetPr>
  <dimension ref="A1:H16"/>
  <sheetViews>
    <sheetView showGridLines="0" zoomScale="60" zoomScaleNormal="60" workbookViewId="0">
      <selection activeCell="C9" sqref="C9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45117</v>
      </c>
      <c r="G3" s="5">
        <f>F3+6</f>
        <v>45123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</v>
      </c>
      <c r="D7" s="12"/>
      <c r="E7" s="11">
        <f>SUM(TimeSheet86[Contracted Hours])</f>
        <v>0</v>
      </c>
      <c r="F7" s="11">
        <f>SUM(TimeSheet86[Additional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45117</v>
      </c>
      <c r="C9" s="17"/>
      <c r="D9" s="17"/>
      <c r="E9" s="18"/>
      <c r="F9" s="18"/>
      <c r="G9" s="19">
        <f>TimeSheet86[[#This Row],[Contracted Hours]]+TimeSheet86[[#This Row],[Additional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45118</v>
      </c>
      <c r="C10" s="17"/>
      <c r="D10" s="17"/>
      <c r="E10" s="18"/>
      <c r="F10" s="18"/>
      <c r="G10" s="19">
        <f>TimeSheet86[[#This Row],[Contracted Hours]]+TimeSheet86[[#This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45119</v>
      </c>
      <c r="C11" s="17"/>
      <c r="D11" s="17"/>
      <c r="E11" s="18"/>
      <c r="F11" s="18"/>
      <c r="G11" s="19">
        <f>TimeSheet86[[#This Row],[Contracted Hours]]+TimeSheet86[[#This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45120</v>
      </c>
      <c r="C12" s="17"/>
      <c r="D12" s="17"/>
      <c r="E12" s="18"/>
      <c r="F12" s="18"/>
      <c r="G12" s="19">
        <f>TimeSheet86[[#This Row],[Contracted Hours]]+TimeSheet86[[#This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45121</v>
      </c>
      <c r="C13" s="17"/>
      <c r="D13" s="17"/>
      <c r="E13" s="18"/>
      <c r="F13" s="18"/>
      <c r="G13" s="19">
        <f>TimeSheet86[[#This Row],[Contracted Hours]]+TimeSheet86[[#This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45122</v>
      </c>
      <c r="C14" s="17"/>
      <c r="D14" s="17"/>
      <c r="E14" s="18"/>
      <c r="F14" s="18"/>
      <c r="G14" s="19">
        <f>TimeSheet86[[#This Row],[Contracted Hours]]+TimeSheet86[[#This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45123</v>
      </c>
      <c r="C15" s="17"/>
      <c r="D15" s="17"/>
      <c r="E15" s="18"/>
      <c r="F15" s="18"/>
      <c r="G15" s="19">
        <f>TimeSheet86[[#This Row],[Contracted Hours]]+TimeSheet86[[#This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A43BD949-DB73-4E50-B9EA-287702FA3C1D}"/>
    <dataValidation allowBlank="1" showInputMessage="1" showErrorMessage="1" prompt="Enter Period Start Date in this cell" sqref="F2" xr:uid="{15FA08AE-8D58-4DD6-93A7-DAA734616234}"/>
    <dataValidation allowBlank="1" showInputMessage="1" showErrorMessage="1" prompt="Enter Employee Email in this cell" sqref="D4" xr:uid="{1AB87EE7-0BFA-40D0-8A47-D0CFE53F3724}"/>
    <dataValidation allowBlank="1" showInputMessage="1" showErrorMessage="1" prompt="Enter Employee Name in this cell" sqref="D3" xr:uid="{5F2C77AA-68FD-4F16-81CF-333210BC50FB}"/>
    <dataValidation allowBlank="1" showInputMessage="1" showErrorMessage="1" prompt="Enter any Additional Hours in this column under this heading" sqref="F8" xr:uid="{622DBF41-412E-46F7-94D6-3AF79D9D6471}"/>
    <dataValidation allowBlank="1" showInputMessage="1" showErrorMessage="1" prompt="Enter Contracted Hours in this column under this heading" sqref="E8" xr:uid="{4E2DB813-551C-44F1-9830-97CC993DF5B2}"/>
    <dataValidation allowBlank="1" showInputMessage="1" showErrorMessage="1" prompt="Enter Finish Time in this column under this heading" sqref="D8" xr:uid="{54786EA3-1633-4225-AA99-FD8893E6DD8C}"/>
    <dataValidation allowBlank="1" showInputMessage="1" showErrorMessage="1" prompt="Enter Start Time in this column under this heading" sqref="C8" xr:uid="{5A565596-CF33-450C-93C3-2B4F1153C38B}"/>
    <dataValidation allowBlank="1" showInputMessage="1" showErrorMessage="1" prompt="Enter Date in this column under this heading. Use heading filters to find specific entries" sqref="B8" xr:uid="{89FA9233-2DBC-4ECF-B884-FF28B71AAA7B}"/>
    <dataValidation allowBlank="1" showInputMessage="1" showErrorMessage="1" prompt="Additional Hours are automatically calculated in this cell" sqref="F7" xr:uid="{30F78539-B756-4AB4-8413-BC853B81DA22}"/>
    <dataValidation allowBlank="1" showInputMessage="1" showErrorMessage="1" prompt="Contract Hours are automatically calculated in this cell" sqref="E7" xr:uid="{27B12543-8102-4E44-87E4-29DB27CFF3AF}"/>
    <dataValidation allowBlank="1" showInputMessage="1" showErrorMessage="1" prompt="Total Hours Worked are automatically calculated in this cell" sqref="D7" xr:uid="{537D3560-65EE-4F45-9E96-CDA67B5F1010}"/>
    <dataValidation allowBlank="1" showInputMessage="1" showErrorMessage="1" prompt="Total Worked Hours are automatically calculated in this cell" sqref="C7" xr:uid="{DC3DED8A-8D0F-4504-9F10-2C72A40961D1}"/>
    <dataValidation allowBlank="1" showInputMessage="1" showErrorMessage="1" prompt="Total Additional Hours worked are automatically calculated in this column under this heading" sqref="F6" xr:uid="{D8A39A55-047C-4018-9E72-852491309A6A}"/>
    <dataValidation allowBlank="1" showInputMessage="1" showErrorMessage="1" prompt="Total Contract Hours worked are automatically calculated in this column under this heading" sqref="E6" xr:uid="{B48C72D3-883C-4FC3-ADE7-CCC558B3E2D4}"/>
    <dataValidation allowBlank="1" showInputMessage="1" showErrorMessage="1" prompt="Total Hours Worked are automatically calculated in cell below" sqref="D6" xr:uid="{2050BAAF-3FA2-4185-9B14-58A60A942F6E}"/>
    <dataValidation allowBlank="1" showInputMessage="1" showErrorMessage="1" prompt="Total Hours Worked are automatically calculated in this column under this heading" sqref="C6 G8" xr:uid="{B84DC54A-FB70-4B4F-8262-B752649CF716}"/>
    <dataValidation allowBlank="1" showInputMessage="1" showErrorMessage="1" prompt="Enter Manager Name in this cell" sqref="B3" xr:uid="{A744AA2A-22E2-485A-8AF8-46AA20CCA040}"/>
    <dataValidation allowBlank="1" showInputMessage="1" showErrorMessage="1" prompt="Enter Manager Name in cells at right" sqref="B2" xr:uid="{D862BC7B-FF6D-4299-9FA8-8C394593B1CE}"/>
    <dataValidation allowBlank="1" showInputMessage="1" showErrorMessage="1" prompt="Enter Employee Name, Email and Phone in cells at right" sqref="D2" xr:uid="{A4CDF5FE-5954-4577-BC51-C64FD22407BB}"/>
    <dataValidation allowBlank="1" showErrorMessage="1" sqref="G6:G7 B18:G1048576 B9:G16 F17:G17 A2:A1048576 F2 B2:B3 H1:XFD1 H6:XFD1048576 H2:J5 M2:XFD5 D2:E4" xr:uid="{9E122633-F65F-4E0F-898E-50C5E53E3FA4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537B-5731-45C4-8988-9DEE82415F46}">
  <sheetPr codeName="Sheet17">
    <tabColor theme="4"/>
    <pageSetUpPr fitToPage="1"/>
  </sheetPr>
  <dimension ref="A1:H16"/>
  <sheetViews>
    <sheetView showGridLines="0" zoomScale="60" zoomScaleNormal="60" workbookViewId="0">
      <selection activeCell="C9" sqref="C9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45124</v>
      </c>
      <c r="G3" s="5">
        <f>F3+6</f>
        <v>45130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</v>
      </c>
      <c r="D7" s="12"/>
      <c r="E7" s="11">
        <f>SUM(TimeSheet87[Contracted Hours])</f>
        <v>0</v>
      </c>
      <c r="F7" s="11">
        <f>SUM(TimeSheet87[Additional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45124</v>
      </c>
      <c r="C9" s="17"/>
      <c r="D9" s="17"/>
      <c r="E9" s="18"/>
      <c r="F9" s="18"/>
      <c r="G9" s="19">
        <f>TimeSheet87[[#This Row],[Contracted Hours]]+TimeSheet87[[#This Row],[Additional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45125</v>
      </c>
      <c r="C10" s="17"/>
      <c r="D10" s="17"/>
      <c r="E10" s="18"/>
      <c r="F10" s="18"/>
      <c r="G10" s="19">
        <f>TimeSheet87[[#This Row],[Contracted Hours]]+TimeSheet87[[#This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45126</v>
      </c>
      <c r="C11" s="17"/>
      <c r="D11" s="17"/>
      <c r="E11" s="18"/>
      <c r="F11" s="18"/>
      <c r="G11" s="19">
        <f>TimeSheet87[[#This Row],[Contracted Hours]]+TimeSheet87[[#This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45127</v>
      </c>
      <c r="C12" s="17"/>
      <c r="D12" s="17"/>
      <c r="E12" s="18"/>
      <c r="F12" s="18"/>
      <c r="G12" s="19">
        <f>TimeSheet87[[#This Row],[Contracted Hours]]+TimeSheet87[[#This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45128</v>
      </c>
      <c r="C13" s="17"/>
      <c r="D13" s="17"/>
      <c r="E13" s="18"/>
      <c r="F13" s="18"/>
      <c r="G13" s="19">
        <f>TimeSheet87[[#This Row],[Contracted Hours]]+TimeSheet87[[#This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45129</v>
      </c>
      <c r="C14" s="17"/>
      <c r="D14" s="17"/>
      <c r="E14" s="18"/>
      <c r="F14" s="18"/>
      <c r="G14" s="19">
        <f>TimeSheet87[[#This Row],[Contracted Hours]]+TimeSheet87[[#This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45130</v>
      </c>
      <c r="C15" s="17"/>
      <c r="D15" s="17"/>
      <c r="E15" s="18"/>
      <c r="F15" s="18"/>
      <c r="G15" s="19">
        <f>TimeSheet87[[#This Row],[Contracted Hours]]+TimeSheet87[[#This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B10931DE-0CC7-4F20-9425-2F2E258251BB}"/>
    <dataValidation allowBlank="1" showInputMessage="1" showErrorMessage="1" prompt="Enter Period Start Date in this cell" sqref="F2" xr:uid="{31031F69-A30D-4618-AB7E-31D7AA1616DE}"/>
    <dataValidation allowBlank="1" showInputMessage="1" showErrorMessage="1" prompt="Enter Employee Email in this cell" sqref="D4" xr:uid="{112D02C8-C9D8-4CE2-8A99-E15F95CF0FCE}"/>
    <dataValidation allowBlank="1" showInputMessage="1" showErrorMessage="1" prompt="Enter Employee Name in this cell" sqref="D3" xr:uid="{650BC453-C5F7-40FB-B4F4-5D29FC528413}"/>
    <dataValidation allowBlank="1" showInputMessage="1" showErrorMessage="1" prompt="Enter any Additional Hours in this column under this heading" sqref="F8" xr:uid="{7D48459E-1789-4973-97FD-E6E9DE272814}"/>
    <dataValidation allowBlank="1" showInputMessage="1" showErrorMessage="1" prompt="Enter Contracted Hours in this column under this heading" sqref="E8" xr:uid="{09E016E8-B812-4A33-8395-71476D6B5EFE}"/>
    <dataValidation allowBlank="1" showInputMessage="1" showErrorMessage="1" prompt="Enter Finish Time in this column under this heading" sqref="D8" xr:uid="{B46327CB-1DF5-420B-8529-0580E20A226B}"/>
    <dataValidation allowBlank="1" showInputMessage="1" showErrorMessage="1" prompt="Enter Start Time in this column under this heading" sqref="C8" xr:uid="{9CDC5CA3-9E88-4917-8EDE-88E7C3902DC9}"/>
    <dataValidation allowBlank="1" showInputMessage="1" showErrorMessage="1" prompt="Enter Date in this column under this heading. Use heading filters to find specific entries" sqref="B8" xr:uid="{5A76DE69-C975-4F5E-A320-27C206FE032B}"/>
    <dataValidation allowBlank="1" showInputMessage="1" showErrorMessage="1" prompt="Additional Hours are automatically calculated in this cell" sqref="F7" xr:uid="{0ACF1D4E-4474-46EC-A970-0E1ADA7D3A59}"/>
    <dataValidation allowBlank="1" showInputMessage="1" showErrorMessage="1" prompt="Contract Hours are automatically calculated in this cell" sqref="E7" xr:uid="{F593EDA6-2FB2-49B8-A1E0-D3ED1B5D44ED}"/>
    <dataValidation allowBlank="1" showInputMessage="1" showErrorMessage="1" prompt="Total Hours Worked are automatically calculated in this cell" sqref="D7" xr:uid="{317788D2-831A-4A9B-98F9-0D2E348DBC3F}"/>
    <dataValidation allowBlank="1" showInputMessage="1" showErrorMessage="1" prompt="Total Worked Hours are automatically calculated in this cell" sqref="C7" xr:uid="{7D4F6482-5BE5-4A2B-9EC7-66776C554256}"/>
    <dataValidation allowBlank="1" showInputMessage="1" showErrorMessage="1" prompt="Total Additional Hours worked are automatically calculated in this column under this heading" sqref="F6" xr:uid="{6FEFC244-DD05-4A09-A27F-0B7EE45DBD61}"/>
    <dataValidation allowBlank="1" showInputMessage="1" showErrorMessage="1" prompt="Total Contract Hours worked are automatically calculated in this column under this heading" sqref="E6" xr:uid="{FFC3EA14-F557-4D01-AE9F-F4083A119616}"/>
    <dataValidation allowBlank="1" showInputMessage="1" showErrorMessage="1" prompt="Total Hours Worked are automatically calculated in cell below" sqref="D6" xr:uid="{433AD9D0-ED43-4226-801F-1E3414523896}"/>
    <dataValidation allowBlank="1" showInputMessage="1" showErrorMessage="1" prompt="Total Hours Worked are automatically calculated in this column under this heading" sqref="C6 G8" xr:uid="{B4D4100A-DA8E-44B6-8FBB-3C617727CF47}"/>
    <dataValidation allowBlank="1" showInputMessage="1" showErrorMessage="1" prompt="Enter Manager Name in this cell" sqref="B3" xr:uid="{03600A26-D6AC-49F1-AA30-49AEAC924DDB}"/>
    <dataValidation allowBlank="1" showInputMessage="1" showErrorMessage="1" prompt="Enter Manager Name in cells at right" sqref="B2" xr:uid="{B81893B1-1D0D-48EF-BEEB-0EB98BB8428A}"/>
    <dataValidation allowBlank="1" showInputMessage="1" showErrorMessage="1" prompt="Enter Employee Name, Email and Phone in cells at right" sqref="D2" xr:uid="{6D01CA2A-DEE0-4CA0-A7A5-B766088561E8}"/>
    <dataValidation allowBlank="1" showErrorMessage="1" sqref="G6:G7 B18:G1048576 B9:G16 F17:G17 A2:A1048576 F2 B2:B3 H1:XFD1 H6:XFD1048576 H2:J5 M2:XFD5 D2:E4" xr:uid="{98EE152A-F3DB-4D6C-BF60-C1EF57F4C7E2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2724-A505-471B-AE49-3F8EFF952924}">
  <sheetPr codeName="Sheet18">
    <tabColor theme="4"/>
    <pageSetUpPr fitToPage="1"/>
  </sheetPr>
  <dimension ref="A1:H16"/>
  <sheetViews>
    <sheetView showGridLines="0" zoomScale="60" zoomScaleNormal="60" workbookViewId="0">
      <selection activeCell="C9" sqref="C9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45131</v>
      </c>
      <c r="G3" s="5">
        <f>F3+6</f>
        <v>45137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</v>
      </c>
      <c r="D7" s="12"/>
      <c r="E7" s="11">
        <f>SUM(TimeSheet88[Contracted Hours])</f>
        <v>0</v>
      </c>
      <c r="F7" s="11">
        <f>SUM(TimeSheet88[Additional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45131</v>
      </c>
      <c r="C9" s="17"/>
      <c r="D9" s="17"/>
      <c r="E9" s="18"/>
      <c r="F9" s="18"/>
      <c r="G9" s="19">
        <f>TimeSheet88[[#This Row],[Contracted Hours]]+TimeSheet88[[#This Row],[Additional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45132</v>
      </c>
      <c r="C10" s="17"/>
      <c r="D10" s="17"/>
      <c r="E10" s="18"/>
      <c r="F10" s="18"/>
      <c r="G10" s="19">
        <f>TimeSheet88[[#This Row],[Contracted Hours]]+TimeSheet88[[#This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45133</v>
      </c>
      <c r="C11" s="17"/>
      <c r="D11" s="17"/>
      <c r="E11" s="18"/>
      <c r="F11" s="18"/>
      <c r="G11" s="19">
        <f>TimeSheet88[[#This Row],[Contracted Hours]]+TimeSheet88[[#This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45134</v>
      </c>
      <c r="C12" s="17"/>
      <c r="D12" s="17"/>
      <c r="E12" s="18"/>
      <c r="F12" s="18"/>
      <c r="G12" s="19">
        <f>TimeSheet88[[#This Row],[Contracted Hours]]+TimeSheet88[[#This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45135</v>
      </c>
      <c r="C13" s="17"/>
      <c r="D13" s="17"/>
      <c r="E13" s="18"/>
      <c r="F13" s="18"/>
      <c r="G13" s="19">
        <f>TimeSheet88[[#This Row],[Contracted Hours]]+TimeSheet88[[#This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45136</v>
      </c>
      <c r="C14" s="17"/>
      <c r="D14" s="17"/>
      <c r="E14" s="18"/>
      <c r="F14" s="18"/>
      <c r="G14" s="19">
        <f>TimeSheet88[[#This Row],[Contracted Hours]]+TimeSheet88[[#This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45137</v>
      </c>
      <c r="C15" s="17"/>
      <c r="D15" s="17"/>
      <c r="E15" s="18"/>
      <c r="F15" s="18"/>
      <c r="G15" s="19">
        <f>TimeSheet88[[#This Row],[Contracted Hours]]+TimeSheet88[[#This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F71430C8-55B8-45D8-866C-6E27F444CEF2}"/>
    <dataValidation allowBlank="1" showInputMessage="1" showErrorMessage="1" prompt="Enter Period Start Date in this cell" sqref="F2" xr:uid="{48F55091-AD07-499B-AE4D-305C2FE01E74}"/>
    <dataValidation allowBlank="1" showInputMessage="1" showErrorMessage="1" prompt="Enter Employee Email in this cell" sqref="D4" xr:uid="{E58B4EE8-E2E8-46FF-A0E6-6A1E2BAB5355}"/>
    <dataValidation allowBlank="1" showInputMessage="1" showErrorMessage="1" prompt="Enter Employee Name in this cell" sqref="D3" xr:uid="{4925123A-140C-47E0-8E79-B160F70838C3}"/>
    <dataValidation allowBlank="1" showInputMessage="1" showErrorMessage="1" prompt="Enter any Additional Hours in this column under this heading" sqref="F8" xr:uid="{54206F81-AE6F-45C0-AFD7-8435058B3AAE}"/>
    <dataValidation allowBlank="1" showInputMessage="1" showErrorMessage="1" prompt="Enter Contracted Hours in this column under this heading" sqref="E8" xr:uid="{CF9B62AB-F8B7-415E-8F59-A4AFE3E1CB57}"/>
    <dataValidation allowBlank="1" showInputMessage="1" showErrorMessage="1" prompt="Enter Finish Time in this column under this heading" sqref="D8" xr:uid="{B6EFE3F3-4853-44C7-9BA0-76AD7AE375F8}"/>
    <dataValidation allowBlank="1" showInputMessage="1" showErrorMessage="1" prompt="Enter Start Time in this column under this heading" sqref="C8" xr:uid="{1096C2C8-F752-45F9-983B-8998DB7C4085}"/>
    <dataValidation allowBlank="1" showInputMessage="1" showErrorMessage="1" prompt="Enter Date in this column under this heading. Use heading filters to find specific entries" sqref="B8" xr:uid="{C8344AFE-F3E1-43AE-9F45-360564E9C54E}"/>
    <dataValidation allowBlank="1" showInputMessage="1" showErrorMessage="1" prompt="Additional Hours are automatically calculated in this cell" sqref="F7" xr:uid="{44313E95-E5AF-459D-9358-E41DED77402F}"/>
    <dataValidation allowBlank="1" showInputMessage="1" showErrorMessage="1" prompt="Contract Hours are automatically calculated in this cell" sqref="E7" xr:uid="{8EFC683D-A23F-4789-B981-9D0E3D12518C}"/>
    <dataValidation allowBlank="1" showInputMessage="1" showErrorMessage="1" prompt="Total Hours Worked are automatically calculated in this cell" sqref="D7" xr:uid="{C2CF420D-503B-482B-826F-80EDBCBD7551}"/>
    <dataValidation allowBlank="1" showInputMessage="1" showErrorMessage="1" prompt="Total Worked Hours are automatically calculated in this cell" sqref="C7" xr:uid="{613D06FF-702D-413E-8E3D-8B7D9661FAED}"/>
    <dataValidation allowBlank="1" showInputMessage="1" showErrorMessage="1" prompt="Total Additional Hours worked are automatically calculated in this column under this heading" sqref="F6" xr:uid="{7F76B2B4-6815-4DF9-8357-87DBA0684E60}"/>
    <dataValidation allowBlank="1" showInputMessage="1" showErrorMessage="1" prompt="Total Contract Hours worked are automatically calculated in this column under this heading" sqref="E6" xr:uid="{F76E45BC-046F-4DA6-8015-F1A52831ADCD}"/>
    <dataValidation allowBlank="1" showInputMessage="1" showErrorMessage="1" prompt="Total Hours Worked are automatically calculated in cell below" sqref="D6" xr:uid="{BDDC287F-A48A-455B-A179-DCD7F67A6988}"/>
    <dataValidation allowBlank="1" showInputMessage="1" showErrorMessage="1" prompt="Total Hours Worked are automatically calculated in this column under this heading" sqref="C6 G8" xr:uid="{883B30EE-1AE4-4152-8552-67B2091CF495}"/>
    <dataValidation allowBlank="1" showInputMessage="1" showErrorMessage="1" prompt="Enter Manager Name in this cell" sqref="B3" xr:uid="{F2C213C0-E182-4C90-B1A0-05A8094A433E}"/>
    <dataValidation allowBlank="1" showInputMessage="1" showErrorMessage="1" prompt="Enter Manager Name in cells at right" sqref="B2" xr:uid="{3F213F01-5F4C-4CAD-8BC5-C1C39AE0BECB}"/>
    <dataValidation allowBlank="1" showInputMessage="1" showErrorMessage="1" prompt="Enter Employee Name, Email and Phone in cells at right" sqref="D2" xr:uid="{7E6F83C0-C1C2-44F0-AD03-F73DBEC07B73}"/>
    <dataValidation allowBlank="1" showErrorMessage="1" sqref="G6:G7 B18:G1048576 B9:G16 F17:G17 A2:A1048576 F2 B2:B3 H1:XFD1 H6:XFD1048576 H2:J5 M2:XFD5 D2:E4" xr:uid="{D8CD646A-476C-47E5-B43C-D6EDB400C872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E994-F543-48BF-B6CD-8C20DBEBAE98}">
  <sheetPr codeName="Sheet19">
    <tabColor theme="4"/>
    <pageSetUpPr fitToPage="1"/>
  </sheetPr>
  <dimension ref="A1:H16"/>
  <sheetViews>
    <sheetView showGridLines="0" zoomScale="60" zoomScaleNormal="60" workbookViewId="0">
      <selection activeCell="C9" sqref="C9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45138</v>
      </c>
      <c r="G3" s="5">
        <f>F3+6</f>
        <v>45144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</v>
      </c>
      <c r="D7" s="12"/>
      <c r="E7" s="11">
        <f>SUM(TimeSheet89[Contracted Hours])</f>
        <v>0</v>
      </c>
      <c r="F7" s="11">
        <f>SUM(TimeSheet89[Additional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45138</v>
      </c>
      <c r="C9" s="17"/>
      <c r="D9" s="17"/>
      <c r="E9" s="18"/>
      <c r="F9" s="18"/>
      <c r="G9" s="19">
        <f>TimeSheet89[[#This Row],[Contracted Hours]]+TimeSheet89[[#This Row],[Additional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45139</v>
      </c>
      <c r="C10" s="17"/>
      <c r="D10" s="17"/>
      <c r="E10" s="18"/>
      <c r="F10" s="18"/>
      <c r="G10" s="19">
        <f>TimeSheet89[[#This Row],[Contracted Hours]]+TimeSheet89[[#This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45140</v>
      </c>
      <c r="C11" s="17"/>
      <c r="D11" s="17"/>
      <c r="E11" s="18"/>
      <c r="F11" s="18"/>
      <c r="G11" s="19">
        <f>TimeSheet89[[#This Row],[Contracted Hours]]+TimeSheet89[[#This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45141</v>
      </c>
      <c r="C12" s="17"/>
      <c r="D12" s="17"/>
      <c r="E12" s="18"/>
      <c r="F12" s="18"/>
      <c r="G12" s="19">
        <f>TimeSheet89[[#This Row],[Contracted Hours]]+TimeSheet89[[#This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45142</v>
      </c>
      <c r="C13" s="17"/>
      <c r="D13" s="17"/>
      <c r="E13" s="18"/>
      <c r="F13" s="18"/>
      <c r="G13" s="19">
        <f>TimeSheet89[[#This Row],[Contracted Hours]]+TimeSheet89[[#This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45143</v>
      </c>
      <c r="C14" s="17"/>
      <c r="D14" s="17"/>
      <c r="E14" s="18"/>
      <c r="F14" s="18"/>
      <c r="G14" s="19">
        <f>TimeSheet89[[#This Row],[Contracted Hours]]+TimeSheet89[[#This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45144</v>
      </c>
      <c r="C15" s="17"/>
      <c r="D15" s="17"/>
      <c r="E15" s="18"/>
      <c r="F15" s="18"/>
      <c r="G15" s="19">
        <f>TimeSheet89[[#This Row],[Contracted Hours]]+TimeSheet89[[#This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5D73D0BA-5C30-4AF8-BF41-DAB93BF72D88}"/>
    <dataValidation allowBlank="1" showInputMessage="1" showErrorMessage="1" prompt="Enter Period Start Date in this cell" sqref="F2" xr:uid="{0379C28D-BC72-4932-8DEF-D0F6710AE4B6}"/>
    <dataValidation allowBlank="1" showInputMessage="1" showErrorMessage="1" prompt="Enter Employee Email in this cell" sqref="D4" xr:uid="{22F77690-94F8-4AF8-B5EC-C3148F0010C4}"/>
    <dataValidation allowBlank="1" showInputMessage="1" showErrorMessage="1" prompt="Enter Employee Name in this cell" sqref="D3" xr:uid="{F834332A-20F7-4437-8C47-F6F8151BD9B0}"/>
    <dataValidation allowBlank="1" showInputMessage="1" showErrorMessage="1" prompt="Enter any Additional Hours in this column under this heading" sqref="F8" xr:uid="{6AE5ABAF-FCCD-420C-BFC7-4365A9FAB7A0}"/>
    <dataValidation allowBlank="1" showInputMessage="1" showErrorMessage="1" prompt="Enter Contracted Hours in this column under this heading" sqref="E8" xr:uid="{1EB3C470-5391-4F5F-96AC-B742FE9C93E9}"/>
    <dataValidation allowBlank="1" showInputMessage="1" showErrorMessage="1" prompt="Enter Finish Time in this column under this heading" sqref="D8" xr:uid="{D10F5B5F-F8F2-475B-8815-5B92BBE75D50}"/>
    <dataValidation allowBlank="1" showInputMessage="1" showErrorMessage="1" prompt="Enter Start Time in this column under this heading" sqref="C8" xr:uid="{092EE8FE-0201-4BBE-8881-F295DBDF630D}"/>
    <dataValidation allowBlank="1" showInputMessage="1" showErrorMessage="1" prompt="Enter Date in this column under this heading. Use heading filters to find specific entries" sqref="B8" xr:uid="{888D44E2-BDEA-4758-B64D-3D211D22C067}"/>
    <dataValidation allowBlank="1" showInputMessage="1" showErrorMessage="1" prompt="Additional Hours are automatically calculated in this cell" sqref="F7" xr:uid="{7CCBB5EE-4782-4CCC-A5E0-4EDC0962D1CF}"/>
    <dataValidation allowBlank="1" showInputMessage="1" showErrorMessage="1" prompt="Contract Hours are automatically calculated in this cell" sqref="E7" xr:uid="{1EEA5AD5-BD5C-4199-8FA2-CB69322CA92D}"/>
    <dataValidation allowBlank="1" showInputMessage="1" showErrorMessage="1" prompt="Total Hours Worked are automatically calculated in this cell" sqref="D7" xr:uid="{D38ED47D-B1BD-4A28-A2E6-4FE37321C5EF}"/>
    <dataValidation allowBlank="1" showInputMessage="1" showErrorMessage="1" prompt="Total Worked Hours are automatically calculated in this cell" sqref="C7" xr:uid="{54745062-A3A9-40DB-AE77-B956B9CECE49}"/>
    <dataValidation allowBlank="1" showInputMessage="1" showErrorMessage="1" prompt="Total Additional Hours worked are automatically calculated in this column under this heading" sqref="F6" xr:uid="{29751F38-1D78-4708-9F45-20162FD2C6E3}"/>
    <dataValidation allowBlank="1" showInputMessage="1" showErrorMessage="1" prompt="Total Contract Hours worked are automatically calculated in this column under this heading" sqref="E6" xr:uid="{33B89EB0-23AF-4D7B-91D9-B506F4A47C6E}"/>
    <dataValidation allowBlank="1" showInputMessage="1" showErrorMessage="1" prompt="Total Hours Worked are automatically calculated in cell below" sqref="D6" xr:uid="{F64D17F1-373B-4B81-83CE-ACD244AE59A8}"/>
    <dataValidation allowBlank="1" showInputMessage="1" showErrorMessage="1" prompt="Total Hours Worked are automatically calculated in this column under this heading" sqref="C6 G8" xr:uid="{C5A5EC04-593F-4AC9-B205-4425197BD061}"/>
    <dataValidation allowBlank="1" showInputMessage="1" showErrorMessage="1" prompt="Enter Manager Name in this cell" sqref="B3" xr:uid="{4D2D75C0-9E8B-45EA-BA8F-C80A260597D0}"/>
    <dataValidation allowBlank="1" showInputMessage="1" showErrorMessage="1" prompt="Enter Manager Name in cells at right" sqref="B2" xr:uid="{685DF537-3147-4452-9235-B7A8D21FCB30}"/>
    <dataValidation allowBlank="1" showInputMessage="1" showErrorMessage="1" prompt="Enter Employee Name, Email and Phone in cells at right" sqref="D2" xr:uid="{FD98681F-949D-43CC-92F7-064A93888DC1}"/>
    <dataValidation allowBlank="1" showErrorMessage="1" sqref="G6:G7 B18:G1048576 B9:G16 F17:G17 A2:A1048576 F2 B2:B3 H1:XFD1 H6:XFD1048576 H2:J5 M2:XFD5 D2:E4" xr:uid="{C291EC81-7286-4E6E-A3A9-B47F488524A6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CA5D-367B-4494-8FAD-0E98AAE4A096}">
  <sheetPr codeName="Sheet20">
    <tabColor theme="4"/>
    <pageSetUpPr fitToPage="1"/>
  </sheetPr>
  <dimension ref="A1:H16"/>
  <sheetViews>
    <sheetView showGridLines="0" zoomScale="60" zoomScaleNormal="60" workbookViewId="0">
      <selection activeCell="C9" sqref="C9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45145</v>
      </c>
      <c r="G3" s="5">
        <f>F3+6</f>
        <v>45151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</v>
      </c>
      <c r="D7" s="12"/>
      <c r="E7" s="11">
        <f>SUM(TimeSheet90[Contracted Hours])</f>
        <v>0</v>
      </c>
      <c r="F7" s="11">
        <f>SUM(TimeSheet90[Additional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45145</v>
      </c>
      <c r="C9" s="17"/>
      <c r="D9" s="17"/>
      <c r="E9" s="18"/>
      <c r="F9" s="18"/>
      <c r="G9" s="19">
        <f>TimeSheet90[[#This Row],[Contracted Hours]]+TimeSheet90[[#This Row],[Additional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45146</v>
      </c>
      <c r="C10" s="17"/>
      <c r="D10" s="17"/>
      <c r="E10" s="18"/>
      <c r="F10" s="18"/>
      <c r="G10" s="19">
        <f>TimeSheet90[[#This Row],[Contracted Hours]]+TimeSheet90[[#This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45147</v>
      </c>
      <c r="C11" s="17"/>
      <c r="D11" s="17"/>
      <c r="E11" s="18"/>
      <c r="F11" s="18"/>
      <c r="G11" s="19">
        <f>TimeSheet90[[#This Row],[Contracted Hours]]+TimeSheet90[[#This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45148</v>
      </c>
      <c r="C12" s="17"/>
      <c r="D12" s="17"/>
      <c r="E12" s="18"/>
      <c r="F12" s="18"/>
      <c r="G12" s="19">
        <f>TimeSheet90[[#This Row],[Contracted Hours]]+TimeSheet90[[#This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45149</v>
      </c>
      <c r="C13" s="17"/>
      <c r="D13" s="17"/>
      <c r="E13" s="18"/>
      <c r="F13" s="18"/>
      <c r="G13" s="19">
        <f>TimeSheet90[[#This Row],[Contracted Hours]]+TimeSheet90[[#This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45150</v>
      </c>
      <c r="C14" s="17"/>
      <c r="D14" s="17"/>
      <c r="E14" s="18"/>
      <c r="F14" s="18"/>
      <c r="G14" s="19">
        <f>TimeSheet90[[#This Row],[Contracted Hours]]+TimeSheet90[[#This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45151</v>
      </c>
      <c r="C15" s="17"/>
      <c r="D15" s="17"/>
      <c r="E15" s="18"/>
      <c r="F15" s="18"/>
      <c r="G15" s="19">
        <f>TimeSheet90[[#This Row],[Contracted Hours]]+TimeSheet90[[#This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D19ACE49-A496-4183-AF62-0174DE5CE496}"/>
    <dataValidation allowBlank="1" showInputMessage="1" showErrorMessage="1" prompt="Enter Period Start Date in this cell" sqref="F2" xr:uid="{F543C0EE-F9E6-437A-B953-C75D388B1E61}"/>
    <dataValidation allowBlank="1" showInputMessage="1" showErrorMessage="1" prompt="Enter Employee Email in this cell" sqref="D4" xr:uid="{07F420F3-22CE-4685-90D2-32BDFF115C9B}"/>
    <dataValidation allowBlank="1" showInputMessage="1" showErrorMessage="1" prompt="Enter Employee Name in this cell" sqref="D3" xr:uid="{40D81670-0E5B-48D4-AB48-9A869D8E3431}"/>
    <dataValidation allowBlank="1" showInputMessage="1" showErrorMessage="1" prompt="Enter any Additional Hours in this column under this heading" sqref="F8" xr:uid="{997E5088-AB41-4CD8-8AA5-48EB8B141863}"/>
    <dataValidation allowBlank="1" showInputMessage="1" showErrorMessage="1" prompt="Enter Contracted Hours in this column under this heading" sqref="E8" xr:uid="{115600E0-3A1C-465A-9735-8AC7000DC568}"/>
    <dataValidation allowBlank="1" showInputMessage="1" showErrorMessage="1" prompt="Enter Finish Time in this column under this heading" sqref="D8" xr:uid="{156DEE3F-35CD-4C22-A5DE-B8045D92A3FD}"/>
    <dataValidation allowBlank="1" showInputMessage="1" showErrorMessage="1" prompt="Enter Start Time in this column under this heading" sqref="C8" xr:uid="{AEFD864A-F4B9-4677-9C60-61F205CF2AF1}"/>
    <dataValidation allowBlank="1" showInputMessage="1" showErrorMessage="1" prompt="Enter Date in this column under this heading. Use heading filters to find specific entries" sqref="B8" xr:uid="{6CDCE137-A830-4DE3-9639-D3D64652B8C5}"/>
    <dataValidation allowBlank="1" showInputMessage="1" showErrorMessage="1" prompt="Additional Hours are automatically calculated in this cell" sqref="F7" xr:uid="{CD02A48E-A57F-4EE3-9762-94FDF44909A8}"/>
    <dataValidation allowBlank="1" showInputMessage="1" showErrorMessage="1" prompt="Contract Hours are automatically calculated in this cell" sqref="E7" xr:uid="{CDBEE377-91E8-4804-AFC1-85919F3AA8EB}"/>
    <dataValidation allowBlank="1" showInputMessage="1" showErrorMessage="1" prompt="Total Hours Worked are automatically calculated in this cell" sqref="D7" xr:uid="{3240B30D-61F6-478E-B2A5-B6B1C509027B}"/>
    <dataValidation allowBlank="1" showInputMessage="1" showErrorMessage="1" prompt="Total Worked Hours are automatically calculated in this cell" sqref="C7" xr:uid="{D812BFB8-1951-4A6B-885B-BC14CF1CB71E}"/>
    <dataValidation allowBlank="1" showInputMessage="1" showErrorMessage="1" prompt="Total Additional Hours worked are automatically calculated in this column under this heading" sqref="F6" xr:uid="{83AA4C76-D875-4315-8ACA-2FD119534696}"/>
    <dataValidation allowBlank="1" showInputMessage="1" showErrorMessage="1" prompt="Total Contract Hours worked are automatically calculated in this column under this heading" sqref="E6" xr:uid="{F8F93B34-D7F3-4EBF-8CE4-72DA6C3178A1}"/>
    <dataValidation allowBlank="1" showInputMessage="1" showErrorMessage="1" prompt="Total Hours Worked are automatically calculated in cell below" sqref="D6" xr:uid="{A378BAA3-F6CE-436D-ADC5-FC93B02C1D94}"/>
    <dataValidation allowBlank="1" showInputMessage="1" showErrorMessage="1" prompt="Total Hours Worked are automatically calculated in this column under this heading" sqref="C6 G8" xr:uid="{2122F058-A27B-4AF7-99AE-C84A4F185023}"/>
    <dataValidation allowBlank="1" showInputMessage="1" showErrorMessage="1" prompt="Enter Manager Name in this cell" sqref="B3" xr:uid="{354C88CD-369B-4C15-ADAB-6A17C8B608E3}"/>
    <dataValidation allowBlank="1" showInputMessage="1" showErrorMessage="1" prompt="Enter Manager Name in cells at right" sqref="B2" xr:uid="{89A9C0F6-16FF-4F7C-AC10-F4BD273B9718}"/>
    <dataValidation allowBlank="1" showInputMessage="1" showErrorMessage="1" prompt="Enter Employee Name, Email and Phone in cells at right" sqref="D2" xr:uid="{DB43DCEA-06A1-4600-98AD-C8C9FBA15C7C}"/>
    <dataValidation allowBlank="1" showErrorMessage="1" sqref="G6:G7 B18:G1048576 B9:G16 F17:G17 A2:A1048576 F2 B2:B3 H1:XFD1 H6:XFD1048576 H2:J5 M2:XFD5 D2:E4" xr:uid="{90A91F7E-F45E-44E5-9701-70CD28C3D7ED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3122-1DF4-4FC9-9031-D65BB23609D7}">
  <sheetPr codeName="Sheet21">
    <tabColor theme="4"/>
    <pageSetUpPr fitToPage="1"/>
  </sheetPr>
  <dimension ref="A1:H16"/>
  <sheetViews>
    <sheetView showGridLines="0" zoomScale="60" zoomScaleNormal="60" workbookViewId="0">
      <selection activeCell="C9" sqref="C9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45152</v>
      </c>
      <c r="G3" s="5">
        <f>F3+6</f>
        <v>45158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</v>
      </c>
      <c r="D7" s="12"/>
      <c r="E7" s="11">
        <f>SUM(TimeSheet91[Contracted Hours])</f>
        <v>0</v>
      </c>
      <c r="F7" s="11">
        <f>SUM(TimeSheet91[Additional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45152</v>
      </c>
      <c r="C9" s="17"/>
      <c r="D9" s="17"/>
      <c r="E9" s="18"/>
      <c r="F9" s="18"/>
      <c r="G9" s="19">
        <f>TimeSheet91[[#This Row],[Contracted Hours]]+TimeSheet91[[#This Row],[Additional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45153</v>
      </c>
      <c r="C10" s="17"/>
      <c r="D10" s="17"/>
      <c r="E10" s="18"/>
      <c r="F10" s="18"/>
      <c r="G10" s="19">
        <f>TimeSheet91[[#This Row],[Contracted Hours]]+TimeSheet91[[#This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45154</v>
      </c>
      <c r="C11" s="17"/>
      <c r="D11" s="17"/>
      <c r="E11" s="18"/>
      <c r="F11" s="18"/>
      <c r="G11" s="19">
        <f>TimeSheet91[[#This Row],[Contracted Hours]]+TimeSheet91[[#This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45155</v>
      </c>
      <c r="C12" s="17"/>
      <c r="D12" s="17"/>
      <c r="E12" s="18"/>
      <c r="F12" s="18"/>
      <c r="G12" s="19">
        <f>TimeSheet91[[#This Row],[Contracted Hours]]+TimeSheet91[[#This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45156</v>
      </c>
      <c r="C13" s="17"/>
      <c r="D13" s="17"/>
      <c r="E13" s="18"/>
      <c r="F13" s="18"/>
      <c r="G13" s="19">
        <f>TimeSheet91[[#This Row],[Contracted Hours]]+TimeSheet91[[#This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45157</v>
      </c>
      <c r="C14" s="17"/>
      <c r="D14" s="17"/>
      <c r="E14" s="18"/>
      <c r="F14" s="18"/>
      <c r="G14" s="19">
        <f>TimeSheet91[[#This Row],[Contracted Hours]]+TimeSheet91[[#This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45158</v>
      </c>
      <c r="C15" s="17"/>
      <c r="D15" s="17"/>
      <c r="E15" s="18"/>
      <c r="F15" s="18"/>
      <c r="G15" s="19">
        <f>TimeSheet91[[#This Row],[Contracted Hours]]+TimeSheet91[[#This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B00AF0E9-4BEA-410F-A420-B5C399074246}"/>
    <dataValidation allowBlank="1" showInputMessage="1" showErrorMessage="1" prompt="Enter Period Start Date in this cell" sqref="F2" xr:uid="{262AEA27-92F8-4007-9A70-94BA461E7F7C}"/>
    <dataValidation allowBlank="1" showInputMessage="1" showErrorMessage="1" prompt="Enter Employee Email in this cell" sqref="D4" xr:uid="{2D85103C-12F3-4003-82CB-BD5F729A3094}"/>
    <dataValidation allowBlank="1" showInputMessage="1" showErrorMessage="1" prompt="Enter Employee Name in this cell" sqref="D3" xr:uid="{4C39152A-FCA0-4C26-9AB5-4AE5A4DFA981}"/>
    <dataValidation allowBlank="1" showInputMessage="1" showErrorMessage="1" prompt="Enter any Additional Hours in this column under this heading" sqref="F8" xr:uid="{447F2DBB-28BC-4A59-8C48-3C459A423AAC}"/>
    <dataValidation allowBlank="1" showInputMessage="1" showErrorMessage="1" prompt="Enter Contracted Hours in this column under this heading" sqref="E8" xr:uid="{8ABD25D6-BCC0-42A0-80DD-635036D83DDD}"/>
    <dataValidation allowBlank="1" showInputMessage="1" showErrorMessage="1" prompt="Enter Finish Time in this column under this heading" sqref="D8" xr:uid="{D3D4D254-DA9A-43A9-8407-7FA83B8C850B}"/>
    <dataValidation allowBlank="1" showInputMessage="1" showErrorMessage="1" prompt="Enter Start Time in this column under this heading" sqref="C8" xr:uid="{CB213A35-7BEE-45CA-BB98-2FDA6956EADB}"/>
    <dataValidation allowBlank="1" showInputMessage="1" showErrorMessage="1" prompt="Enter Date in this column under this heading. Use heading filters to find specific entries" sqref="B8" xr:uid="{C25AC3DB-F66C-4C10-9977-6A8287BA1F7A}"/>
    <dataValidation allowBlank="1" showInputMessage="1" showErrorMessage="1" prompt="Additional Hours are automatically calculated in this cell" sqref="F7" xr:uid="{154BA7B2-08F0-45D7-8F29-D4C2D19DE33D}"/>
    <dataValidation allowBlank="1" showInputMessage="1" showErrorMessage="1" prompt="Contract Hours are automatically calculated in this cell" sqref="E7" xr:uid="{E69B2E75-8C49-420E-8A24-142BEDF84AAC}"/>
    <dataValidation allowBlank="1" showInputMessage="1" showErrorMessage="1" prompt="Total Hours Worked are automatically calculated in this cell" sqref="D7" xr:uid="{C2C0302C-4A1E-49D7-B978-805AA5E5F564}"/>
    <dataValidation allowBlank="1" showInputMessage="1" showErrorMessage="1" prompt="Total Worked Hours are automatically calculated in this cell" sqref="C7" xr:uid="{116CE76A-ED71-41F3-A8FB-36DBEDEECD6A}"/>
    <dataValidation allowBlank="1" showInputMessage="1" showErrorMessage="1" prompt="Total Additional Hours worked are automatically calculated in this column under this heading" sqref="F6" xr:uid="{CDDD1855-F939-4BC1-9D55-4A8327C97155}"/>
    <dataValidation allowBlank="1" showInputMessage="1" showErrorMessage="1" prompt="Total Contract Hours worked are automatically calculated in this column under this heading" sqref="E6" xr:uid="{533AAA85-D436-4DD4-B53F-ED76D8FACFC2}"/>
    <dataValidation allowBlank="1" showInputMessage="1" showErrorMessage="1" prompt="Total Hours Worked are automatically calculated in cell below" sqref="D6" xr:uid="{6456125E-34B8-4EEC-8E90-D99520D5CE64}"/>
    <dataValidation allowBlank="1" showInputMessage="1" showErrorMessage="1" prompt="Total Hours Worked are automatically calculated in this column under this heading" sqref="C6 G8" xr:uid="{60A5F91D-CF12-44E8-A152-EF7E5B45225F}"/>
    <dataValidation allowBlank="1" showInputMessage="1" showErrorMessage="1" prompt="Enter Manager Name in this cell" sqref="B3" xr:uid="{F2A256B7-905A-4389-AA78-255771F89020}"/>
    <dataValidation allowBlank="1" showInputMessage="1" showErrorMessage="1" prompt="Enter Manager Name in cells at right" sqref="B2" xr:uid="{95C097E2-E3BA-45F4-883F-550CF060B886}"/>
    <dataValidation allowBlank="1" showInputMessage="1" showErrorMessage="1" prompt="Enter Employee Name, Email and Phone in cells at right" sqref="D2" xr:uid="{5FC21148-843C-46E9-BAC6-0F8A97799FF5}"/>
    <dataValidation allowBlank="1" showErrorMessage="1" sqref="G6:G7 B18:G1048576 B9:G16 F17:G17 A2:A1048576 F2 B2:B3 H1:XFD1 H6:XFD1048576 H2:J5 M2:XFD5 D2:E4" xr:uid="{9A2478E5-CF5C-4D00-8D62-8EE41560A3FD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164D-AB81-4724-9730-F4EF29BCE4BB}">
  <sheetPr codeName="Sheet22">
    <tabColor theme="4"/>
    <pageSetUpPr fitToPage="1"/>
  </sheetPr>
  <dimension ref="A1:H16"/>
  <sheetViews>
    <sheetView showGridLines="0" zoomScale="60" zoomScaleNormal="60" workbookViewId="0">
      <selection activeCell="C9" sqref="C9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45159</v>
      </c>
      <c r="G3" s="5">
        <f>F3+6</f>
        <v>45165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</v>
      </c>
      <c r="D7" s="12"/>
      <c r="E7" s="11">
        <f>SUM(TimeSheet92[Contracted Hours])</f>
        <v>0</v>
      </c>
      <c r="F7" s="11">
        <f>SUM(TimeSheet92[Additional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45159</v>
      </c>
      <c r="C9" s="17"/>
      <c r="D9" s="17"/>
      <c r="E9" s="18"/>
      <c r="F9" s="18"/>
      <c r="G9" s="19">
        <f>TimeSheet92[[#This Row],[Contracted Hours]]+TimeSheet92[[#This Row],[Additional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45160</v>
      </c>
      <c r="C10" s="17"/>
      <c r="D10" s="17"/>
      <c r="E10" s="18"/>
      <c r="F10" s="18"/>
      <c r="G10" s="19">
        <f>TimeSheet92[[#This Row],[Contracted Hours]]+TimeSheet92[[#This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45161</v>
      </c>
      <c r="C11" s="17"/>
      <c r="D11" s="17"/>
      <c r="E11" s="18"/>
      <c r="F11" s="18"/>
      <c r="G11" s="19">
        <f>TimeSheet92[[#This Row],[Contracted Hours]]+TimeSheet92[[#This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45162</v>
      </c>
      <c r="C12" s="17"/>
      <c r="D12" s="17"/>
      <c r="E12" s="18"/>
      <c r="F12" s="18"/>
      <c r="G12" s="19">
        <f>TimeSheet92[[#This Row],[Contracted Hours]]+TimeSheet92[[#This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45163</v>
      </c>
      <c r="C13" s="17"/>
      <c r="D13" s="17"/>
      <c r="E13" s="18"/>
      <c r="F13" s="18"/>
      <c r="G13" s="19">
        <f>TimeSheet92[[#This Row],[Contracted Hours]]+TimeSheet92[[#This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45164</v>
      </c>
      <c r="C14" s="17"/>
      <c r="D14" s="17"/>
      <c r="E14" s="18"/>
      <c r="F14" s="18"/>
      <c r="G14" s="19">
        <f>TimeSheet92[[#This Row],[Contracted Hours]]+TimeSheet92[[#This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45165</v>
      </c>
      <c r="C15" s="17"/>
      <c r="D15" s="17"/>
      <c r="E15" s="18"/>
      <c r="F15" s="18"/>
      <c r="G15" s="19">
        <f>TimeSheet92[[#This Row],[Contracted Hours]]+TimeSheet92[[#This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F393C2A3-9BF4-48F1-9212-B259E5EEBE6B}"/>
    <dataValidation allowBlank="1" showInputMessage="1" showErrorMessage="1" prompt="Enter Period Start Date in this cell" sqref="F2" xr:uid="{485E90E1-93A4-4ABC-84C3-B9B7D270319D}"/>
    <dataValidation allowBlank="1" showInputMessage="1" showErrorMessage="1" prompt="Enter Employee Email in this cell" sqref="D4" xr:uid="{0C8B3867-8242-4C9D-BA1E-1171AA5B10E5}"/>
    <dataValidation allowBlank="1" showInputMessage="1" showErrorMessage="1" prompt="Enter Employee Name in this cell" sqref="D3" xr:uid="{C2AA1D9B-D7E0-4F36-AF87-4EF580E2BEB2}"/>
    <dataValidation allowBlank="1" showInputMessage="1" showErrorMessage="1" prompt="Enter any Additional Hours in this column under this heading" sqref="F8" xr:uid="{7B66F65B-AAE7-4F08-A7A5-C64C0FECFE4A}"/>
    <dataValidation allowBlank="1" showInputMessage="1" showErrorMessage="1" prompt="Enter Contracted Hours in this column under this heading" sqref="E8" xr:uid="{EBFCD54A-80CF-4FFD-86AB-6CBDB6F7AF20}"/>
    <dataValidation allowBlank="1" showInputMessage="1" showErrorMessage="1" prompt="Enter Finish Time in this column under this heading" sqref="D8" xr:uid="{D515DD99-0307-4FF0-8D63-EEB503560878}"/>
    <dataValidation allowBlank="1" showInputMessage="1" showErrorMessage="1" prompt="Enter Start Time in this column under this heading" sqref="C8" xr:uid="{639A5A60-83AC-4223-90C4-10E381255C95}"/>
    <dataValidation allowBlank="1" showInputMessage="1" showErrorMessage="1" prompt="Enter Date in this column under this heading. Use heading filters to find specific entries" sqref="B8" xr:uid="{E0370D49-F568-446C-954E-57D523DA292D}"/>
    <dataValidation allowBlank="1" showInputMessage="1" showErrorMessage="1" prompt="Additional Hours are automatically calculated in this cell" sqref="F7" xr:uid="{133FE5E6-B51B-4A84-8BB3-986E76C4E8ED}"/>
    <dataValidation allowBlank="1" showInputMessage="1" showErrorMessage="1" prompt="Contract Hours are automatically calculated in this cell" sqref="E7" xr:uid="{4F9F238B-A1AF-47C8-AC43-B28A8719A39B}"/>
    <dataValidation allowBlank="1" showInputMessage="1" showErrorMessage="1" prompt="Total Hours Worked are automatically calculated in this cell" sqref="D7" xr:uid="{DD70EFAE-7F7F-4D60-A97B-D65764E6B90C}"/>
    <dataValidation allowBlank="1" showInputMessage="1" showErrorMessage="1" prompt="Total Worked Hours are automatically calculated in this cell" sqref="C7" xr:uid="{00144536-BF3C-4252-B2CF-DAFF1CAC9916}"/>
    <dataValidation allowBlank="1" showInputMessage="1" showErrorMessage="1" prompt="Total Additional Hours worked are automatically calculated in this column under this heading" sqref="F6" xr:uid="{5BDD5392-5B53-4D8C-882F-40E8824457BF}"/>
    <dataValidation allowBlank="1" showInputMessage="1" showErrorMessage="1" prompt="Total Contract Hours worked are automatically calculated in this column under this heading" sqref="E6" xr:uid="{E7DC928A-347F-440B-B33D-3513E4E3A308}"/>
    <dataValidation allowBlank="1" showInputMessage="1" showErrorMessage="1" prompt="Total Hours Worked are automatically calculated in cell below" sqref="D6" xr:uid="{C9FA0A1F-36E9-4A68-83BA-8E9324CA47D4}"/>
    <dataValidation allowBlank="1" showInputMessage="1" showErrorMessage="1" prompt="Total Hours Worked are automatically calculated in this column under this heading" sqref="C6 G8" xr:uid="{A71C0D2E-0C62-4563-B4E8-5C3FBC92B4A7}"/>
    <dataValidation allowBlank="1" showInputMessage="1" showErrorMessage="1" prompt="Enter Manager Name in this cell" sqref="B3" xr:uid="{53890110-7836-4646-ADAD-3CB6E1CABEBD}"/>
    <dataValidation allowBlank="1" showInputMessage="1" showErrorMessage="1" prompt="Enter Manager Name in cells at right" sqref="B2" xr:uid="{A431261F-CC77-499B-ACC9-196932943676}"/>
    <dataValidation allowBlank="1" showInputMessage="1" showErrorMessage="1" prompt="Enter Employee Name, Email and Phone in cells at right" sqref="D2" xr:uid="{FA2F8E47-D0C8-4197-8B4E-9BADA418C759}"/>
    <dataValidation allowBlank="1" showErrorMessage="1" sqref="G6:G7 B18:G1048576 B9:G16 F17:G17 A2:A1048576 F2 B2:B3 H1:XFD1 H6:XFD1048576 H2:J5 M2:XFD5 D2:E4" xr:uid="{932D1EC7-D953-4963-AEEB-5C215D144DCE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B17A-5FAA-4981-86FD-5C0AA506387D}">
  <sheetPr codeName="Sheet23">
    <tabColor theme="4"/>
    <pageSetUpPr fitToPage="1"/>
  </sheetPr>
  <dimension ref="A1:H16"/>
  <sheetViews>
    <sheetView showGridLines="0" tabSelected="1" zoomScale="60" zoomScaleNormal="60" workbookViewId="0">
      <selection activeCell="G10" sqref="G10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45166</v>
      </c>
      <c r="G3" s="5">
        <f>F3+6</f>
        <v>45172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0.33333333333333331</v>
      </c>
      <c r="D7" s="12"/>
      <c r="E7" s="11">
        <f>SUM(TimeSheet93[Contracted Hours])</f>
        <v>0.33333333333333331</v>
      </c>
      <c r="F7" s="11">
        <f>SUM(TimeSheet93[Additional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45166</v>
      </c>
      <c r="C9" s="17"/>
      <c r="D9" s="17"/>
      <c r="E9" s="18"/>
      <c r="F9" s="18"/>
      <c r="G9" s="19">
        <f>TimeSheet93[[#This Row],[Additional Hours]]+TimeSheet93[[#This Row],[Contracted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45167</v>
      </c>
      <c r="C10" s="17"/>
      <c r="D10" s="17"/>
      <c r="E10" s="18"/>
      <c r="F10" s="18"/>
      <c r="G10" s="19">
        <f>TimeSheet93[[#This Row],[Additional Hours]]+TimeSheet93[[#This Row],[Contracted Hours]]</f>
        <v>0</v>
      </c>
      <c r="H10" s="4"/>
    </row>
    <row r="11" spans="1:8" ht="50.1" customHeight="1" x14ac:dyDescent="0.55000000000000004">
      <c r="A11" s="4"/>
      <c r="B11" s="16">
        <f t="shared" si="0"/>
        <v>45168</v>
      </c>
      <c r="C11" s="17"/>
      <c r="D11" s="17"/>
      <c r="E11" s="18"/>
      <c r="F11" s="18"/>
      <c r="G11" s="19">
        <f>TimeSheet93[[#This Row],[Additional Hours]]+TimeSheet93[[#This Row],[Contracted Hours]]</f>
        <v>0</v>
      </c>
      <c r="H11" s="4"/>
    </row>
    <row r="12" spans="1:8" ht="50.1" customHeight="1" x14ac:dyDescent="0.55000000000000004">
      <c r="A12" s="4"/>
      <c r="B12" s="16">
        <f t="shared" si="0"/>
        <v>45169</v>
      </c>
      <c r="C12" s="17"/>
      <c r="D12" s="17"/>
      <c r="E12" s="18"/>
      <c r="F12" s="18"/>
      <c r="G12" s="19">
        <f>TimeSheet93[[#This Row],[Additional Hours]]+TimeSheet93[[#This Row],[Contracted Hours]]</f>
        <v>0</v>
      </c>
      <c r="H12" s="4"/>
    </row>
    <row r="13" spans="1:8" ht="50.1" customHeight="1" x14ac:dyDescent="0.55000000000000004">
      <c r="A13" s="4"/>
      <c r="B13" s="16">
        <f t="shared" si="0"/>
        <v>45170</v>
      </c>
      <c r="C13" s="17">
        <v>0.33333333333333331</v>
      </c>
      <c r="D13" s="17">
        <v>0.66666666666666663</v>
      </c>
      <c r="E13" s="18">
        <v>0.33333333333333331</v>
      </c>
      <c r="F13" s="18"/>
      <c r="G13" s="19">
        <f>TimeSheet93[[#This Row],[Additional Hours]]+TimeSheet93[[#This Row],[Contracted Hours]]</f>
        <v>0.33333333333333331</v>
      </c>
      <c r="H13" s="4"/>
    </row>
    <row r="14" spans="1:8" ht="50.1" customHeight="1" x14ac:dyDescent="0.55000000000000004">
      <c r="A14" s="4"/>
      <c r="B14" s="16">
        <f t="shared" si="0"/>
        <v>45171</v>
      </c>
      <c r="C14" s="17"/>
      <c r="D14" s="17"/>
      <c r="E14" s="18"/>
      <c r="F14" s="18"/>
      <c r="G14" s="19">
        <f>TimeSheet93[[#This Row],[Additional Hours]]+TimeSheet93[[#This Row],[Contracted Hours]]</f>
        <v>0</v>
      </c>
      <c r="H14" s="4"/>
    </row>
    <row r="15" spans="1:8" ht="50.1" customHeight="1" x14ac:dyDescent="0.55000000000000004">
      <c r="A15" s="4"/>
      <c r="B15" s="16">
        <f t="shared" si="0"/>
        <v>45172</v>
      </c>
      <c r="C15" s="17"/>
      <c r="D15" s="17"/>
      <c r="E15" s="18"/>
      <c r="F15" s="18"/>
      <c r="G15" s="19">
        <f>TimeSheet93[[#This Row],[Additional Hours]]+TimeSheet93[[#This Row],[Contracted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1B90E8E6-734E-45E9-B4A0-C4BFFA03EBD6}"/>
    <dataValidation allowBlank="1" showInputMessage="1" showErrorMessage="1" prompt="Enter Period Start Date in this cell" sqref="F2" xr:uid="{05402EE1-6463-403D-93CC-0223CA5B493E}"/>
    <dataValidation allowBlank="1" showInputMessage="1" showErrorMessage="1" prompt="Enter Employee Email in this cell" sqref="D4" xr:uid="{D6C42869-D233-4992-AA9A-2A5ED5F0BAB5}"/>
    <dataValidation allowBlank="1" showInputMessage="1" showErrorMessage="1" prompt="Enter Employee Name in this cell" sqref="D3" xr:uid="{B1751F65-AA32-4B5B-9B8A-D88D879C813C}"/>
    <dataValidation allowBlank="1" showInputMessage="1" showErrorMessage="1" prompt="Enter any Additional Hours in this column under this heading" sqref="F8" xr:uid="{FD87F6B4-B673-4CCF-8A7B-E88DB585109C}"/>
    <dataValidation allowBlank="1" showInputMessage="1" showErrorMessage="1" prompt="Enter Contracted Hours in this column under this heading" sqref="E8" xr:uid="{BCAB1118-5ADD-49AA-A580-3834AFF94A58}"/>
    <dataValidation allowBlank="1" showInputMessage="1" showErrorMessage="1" prompt="Enter Finish Time in this column under this heading" sqref="D8" xr:uid="{E65739CF-09F9-46F2-B0E8-39128AA4870C}"/>
    <dataValidation allowBlank="1" showInputMessage="1" showErrorMessage="1" prompt="Enter Start Time in this column under this heading" sqref="C8" xr:uid="{A0EA2695-9153-4A20-991D-873F688B1FF0}"/>
    <dataValidation allowBlank="1" showInputMessage="1" showErrorMessage="1" prompt="Enter Date in this column under this heading. Use heading filters to find specific entries" sqref="B8" xr:uid="{F934D367-6290-4BAF-8316-F5AF107BEEAF}"/>
    <dataValidation allowBlank="1" showInputMessage="1" showErrorMessage="1" prompt="Additional Hours are automatically calculated in this cell" sqref="F7" xr:uid="{69E32C40-A785-49E9-ABE3-4E42DA98BF54}"/>
    <dataValidation allowBlank="1" showInputMessage="1" showErrorMessage="1" prompt="Contract Hours are automatically calculated in this cell" sqref="E7" xr:uid="{90E10108-E78B-4218-B005-21D2FA429D80}"/>
    <dataValidation allowBlank="1" showInputMessage="1" showErrorMessage="1" prompt="Total Hours Worked are automatically calculated in this cell" sqref="D7" xr:uid="{83609E19-79DB-4BE8-9918-7E99E26C1FDB}"/>
    <dataValidation allowBlank="1" showInputMessage="1" showErrorMessage="1" prompt="Total Worked Hours are automatically calculated in this cell" sqref="C7" xr:uid="{D241AB05-0569-4848-93CB-E9C44CCE7795}"/>
    <dataValidation allowBlank="1" showInputMessage="1" showErrorMessage="1" prompt="Total Additional Hours worked are automatically calculated in this column under this heading" sqref="F6" xr:uid="{348C48DC-56B9-4B94-973B-ECC6B242FFCD}"/>
    <dataValidation allowBlank="1" showInputMessage="1" showErrorMessage="1" prompt="Total Contract Hours worked are automatically calculated in this column under this heading" sqref="E6" xr:uid="{5E135FAE-E5DF-4853-B33A-0AA8FB3A9110}"/>
    <dataValidation allowBlank="1" showInputMessage="1" showErrorMessage="1" prompt="Total Hours Worked are automatically calculated in cell below" sqref="D6" xr:uid="{3494E766-B8B9-4610-ACAF-0958499735A4}"/>
    <dataValidation allowBlank="1" showInputMessage="1" showErrorMessage="1" prompt="Total Hours Worked are automatically calculated in this column under this heading" sqref="C6 G8" xr:uid="{62F1C556-5035-4BE9-A9E8-4502A8826B08}"/>
    <dataValidation allowBlank="1" showInputMessage="1" showErrorMessage="1" prompt="Enter Manager Name in this cell" sqref="B3" xr:uid="{75989A3A-1044-481E-AF29-D412162BFC20}"/>
    <dataValidation allowBlank="1" showInputMessage="1" showErrorMessage="1" prompt="Enter Manager Name in cells at right" sqref="B2" xr:uid="{543CA9DF-6F3A-493F-810D-EE430040EFF6}"/>
    <dataValidation allowBlank="1" showInputMessage="1" showErrorMessage="1" prompt="Enter Employee Name, Email and Phone in cells at right" sqref="D2" xr:uid="{C626AF74-7D2D-4566-85D3-D66003A0864C}"/>
    <dataValidation allowBlank="1" showErrorMessage="1" sqref="G6:G7 B18:G1048576 D2:E4 F17:G17 A2:A1048576 F2 B2:B3 H1:XFD1 H6:XFD1048576 H2:J5 M2:XFD5 B9:G16" xr:uid="{7BF0FDCF-563E-448A-B906-732EE7F15BE9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46E0-40E4-4393-8AA7-719BEDF89B96}">
  <sheetPr codeName="Sheet24">
    <tabColor theme="4"/>
    <pageSetUpPr fitToPage="1"/>
  </sheetPr>
  <dimension ref="A1:H16"/>
  <sheetViews>
    <sheetView showGridLines="0" zoomScale="60" zoomScaleNormal="60" workbookViewId="0">
      <selection activeCell="C9" sqref="C9:G9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45173</v>
      </c>
      <c r="G3" s="5">
        <f>F3+6</f>
        <v>45179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1.6666666666666665</v>
      </c>
      <c r="D7" s="12"/>
      <c r="E7" s="11">
        <f>SUM(TimeSheet94[Contracted Hours])</f>
        <v>1.6666666666666665</v>
      </c>
      <c r="F7" s="11">
        <f>SUM(TimeSheet94[Additional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45173</v>
      </c>
      <c r="C9" s="17">
        <v>0.33333333333333331</v>
      </c>
      <c r="D9" s="17">
        <v>0.66666666666666663</v>
      </c>
      <c r="E9" s="18">
        <v>0.33333333333333331</v>
      </c>
      <c r="F9" s="18"/>
      <c r="G9" s="19">
        <f>TimeSheet94[[#This Row],[Contracted Hours]]+TimeSheet94[[#This Row],[Additional Hours]]</f>
        <v>0.33333333333333331</v>
      </c>
      <c r="H9" s="4"/>
    </row>
    <row r="10" spans="1:8" ht="50.1" customHeight="1" x14ac:dyDescent="0.55000000000000004">
      <c r="A10" s="4"/>
      <c r="B10" s="16">
        <f t="shared" ref="B10:B15" si="0">B9+1</f>
        <v>45174</v>
      </c>
      <c r="C10" s="17">
        <v>0.33333333333333331</v>
      </c>
      <c r="D10" s="17">
        <v>0.66666666666666663</v>
      </c>
      <c r="E10" s="18">
        <v>0.33333333333333331</v>
      </c>
      <c r="F10" s="18"/>
      <c r="G10" s="19">
        <f>TimeSheet94[[#This Row],[Contracted Hours]]+TimeSheet94[[#This Row],[Additional Hours]]</f>
        <v>0.33333333333333331</v>
      </c>
      <c r="H10" s="4"/>
    </row>
    <row r="11" spans="1:8" ht="50.1" customHeight="1" x14ac:dyDescent="0.55000000000000004">
      <c r="A11" s="4"/>
      <c r="B11" s="16">
        <f t="shared" si="0"/>
        <v>45175</v>
      </c>
      <c r="C11" s="17">
        <v>0.33333333333333331</v>
      </c>
      <c r="D11" s="17">
        <v>0.66666666666666663</v>
      </c>
      <c r="E11" s="18">
        <v>0.33333333333333331</v>
      </c>
      <c r="F11" s="18"/>
      <c r="G11" s="19">
        <f>TimeSheet94[[#This Row],[Contracted Hours]]+TimeSheet94[[#This Row],[Additional Hours]]</f>
        <v>0.33333333333333331</v>
      </c>
      <c r="H11" s="4"/>
    </row>
    <row r="12" spans="1:8" ht="50.1" customHeight="1" x14ac:dyDescent="0.55000000000000004">
      <c r="A12" s="4"/>
      <c r="B12" s="16">
        <f t="shared" si="0"/>
        <v>45176</v>
      </c>
      <c r="C12" s="17">
        <v>0.33333333333333331</v>
      </c>
      <c r="D12" s="17">
        <v>0.66666666666666663</v>
      </c>
      <c r="E12" s="18">
        <v>0.33333333333333331</v>
      </c>
      <c r="F12" s="18"/>
      <c r="G12" s="19">
        <f>TimeSheet94[[#This Row],[Contracted Hours]]+TimeSheet94[[#This Row],[Additional Hours]]</f>
        <v>0.33333333333333331</v>
      </c>
      <c r="H12" s="4"/>
    </row>
    <row r="13" spans="1:8" ht="50.1" customHeight="1" x14ac:dyDescent="0.55000000000000004">
      <c r="A13" s="4"/>
      <c r="B13" s="16">
        <f t="shared" si="0"/>
        <v>45177</v>
      </c>
      <c r="C13" s="17">
        <v>0.33333333333333331</v>
      </c>
      <c r="D13" s="17">
        <v>0.66666666666666663</v>
      </c>
      <c r="E13" s="18">
        <v>0.33333333333333331</v>
      </c>
      <c r="F13" s="18"/>
      <c r="G13" s="19">
        <f>TimeSheet94[[#This Row],[Contracted Hours]]+TimeSheet94[[#This Row],[Additional Hours]]</f>
        <v>0.33333333333333331</v>
      </c>
      <c r="H13" s="4"/>
    </row>
    <row r="14" spans="1:8" ht="50.1" customHeight="1" x14ac:dyDescent="0.55000000000000004">
      <c r="A14" s="4"/>
      <c r="B14" s="16">
        <f t="shared" si="0"/>
        <v>45178</v>
      </c>
      <c r="C14" s="17"/>
      <c r="D14" s="17"/>
      <c r="E14" s="18"/>
      <c r="F14" s="18"/>
      <c r="G14" s="19">
        <f>TimeSheet94[[#This Row],[Contracted Hours]]+TimeSheet94[[#This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45179</v>
      </c>
      <c r="C15" s="17"/>
      <c r="D15" s="17"/>
      <c r="E15" s="18"/>
      <c r="F15" s="18"/>
      <c r="G15" s="19">
        <f>TimeSheet94[[#This Row],[Contracted Hours]]+TimeSheet94[[#This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A6ED7E15-2129-42F9-B9E9-1B993EB4BB55}"/>
    <dataValidation allowBlank="1" showInputMessage="1" showErrorMessage="1" prompt="Enter Period Start Date in this cell" sqref="F2" xr:uid="{84A55BE7-B771-454D-9523-61D0D6754CA9}"/>
    <dataValidation allowBlank="1" showInputMessage="1" showErrorMessage="1" prompt="Enter Employee Email in this cell" sqref="D4" xr:uid="{5E577A47-95A4-401A-B37B-88D80ED767A9}"/>
    <dataValidation allowBlank="1" showInputMessage="1" showErrorMessage="1" prompt="Enter Employee Name in this cell" sqref="D3" xr:uid="{9E09A32F-B056-4078-95A0-3B2922DA2301}"/>
    <dataValidation allowBlank="1" showInputMessage="1" showErrorMessage="1" prompt="Enter any Additional Hours in this column under this heading" sqref="F8" xr:uid="{C7AA8E3A-7BFF-4219-BE57-EF0471E8C2F7}"/>
    <dataValidation allowBlank="1" showInputMessage="1" showErrorMessage="1" prompt="Enter Contracted Hours in this column under this heading" sqref="E8" xr:uid="{8BFD4FC0-D204-4740-A674-E128802195FE}"/>
    <dataValidation allowBlank="1" showInputMessage="1" showErrorMessage="1" prompt="Enter Finish Time in this column under this heading" sqref="D8" xr:uid="{29284728-F3CC-4A84-9A52-C5BD7BF7AECB}"/>
    <dataValidation allowBlank="1" showInputMessage="1" showErrorMessage="1" prompt="Enter Start Time in this column under this heading" sqref="C8" xr:uid="{49953FC4-D844-4520-ABDE-1E08A461A8F9}"/>
    <dataValidation allowBlank="1" showInputMessage="1" showErrorMessage="1" prompt="Enter Date in this column under this heading. Use heading filters to find specific entries" sqref="B8" xr:uid="{EA0479B1-1B19-429F-A9F4-093E626014D2}"/>
    <dataValidation allowBlank="1" showInputMessage="1" showErrorMessage="1" prompt="Additional Hours are automatically calculated in this cell" sqref="F7" xr:uid="{E403EA9E-EB0E-4CFB-9A7C-687EC7885BC0}"/>
    <dataValidation allowBlank="1" showInputMessage="1" showErrorMessage="1" prompt="Contract Hours are automatically calculated in this cell" sqref="E7" xr:uid="{918244FE-958D-432C-93A8-6D51710B2F38}"/>
    <dataValidation allowBlank="1" showInputMessage="1" showErrorMessage="1" prompt="Total Hours Worked are automatically calculated in this cell" sqref="D7" xr:uid="{3F7FC285-E22F-4476-AC75-69213378CA3A}"/>
    <dataValidation allowBlank="1" showInputMessage="1" showErrorMessage="1" prompt="Total Worked Hours are automatically calculated in this cell" sqref="C7" xr:uid="{D6BC620C-B9A6-49B5-AAD3-93F8090A1928}"/>
    <dataValidation allowBlank="1" showInputMessage="1" showErrorMessage="1" prompt="Total Additional Hours worked are automatically calculated in this column under this heading" sqref="F6" xr:uid="{3FBC7CA2-4877-432E-845A-99D883AC12E5}"/>
    <dataValidation allowBlank="1" showInputMessage="1" showErrorMessage="1" prompt="Total Contract Hours worked are automatically calculated in this column under this heading" sqref="E6" xr:uid="{D1B8DC36-1EA4-4797-8956-2E7EAE589F95}"/>
    <dataValidation allowBlank="1" showInputMessage="1" showErrorMessage="1" prompt="Total Hours Worked are automatically calculated in cell below" sqref="D6" xr:uid="{E9951EC9-0D17-4A80-82C2-05E9B7C6A21B}"/>
    <dataValidation allowBlank="1" showInputMessage="1" showErrorMessage="1" prompt="Total Hours Worked are automatically calculated in this column under this heading" sqref="C6 G8" xr:uid="{392FB1A4-079F-43EA-9191-B59F63E34151}"/>
    <dataValidation allowBlank="1" showInputMessage="1" showErrorMessage="1" prompt="Enter Manager Name in this cell" sqref="B3" xr:uid="{BD35A8B8-7E23-481A-8613-F44901D263A1}"/>
    <dataValidation allowBlank="1" showInputMessage="1" showErrorMessage="1" prompt="Enter Manager Name in cells at right" sqref="B2" xr:uid="{31546CE6-78F7-40D3-AF75-62E8BDAA865C}"/>
    <dataValidation allowBlank="1" showInputMessage="1" showErrorMessage="1" prompt="Enter Employee Name, Email and Phone in cells at right" sqref="D2" xr:uid="{3886318A-E622-4744-B523-389F72A8FDEC}"/>
    <dataValidation allowBlank="1" showErrorMessage="1" sqref="G6:G7 B18:G1048576 D2:E4 F17:G17 A2:A1048576 F2 B2:B3 H1:XFD1 H6:XFD1048576 H2:J5 M2:XFD5 B9:G16" xr:uid="{124286C4-2F6F-4D5D-B536-91D63B7D4BF0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2BC-BA76-4B73-81C8-85EA58AF5EA0}">
  <sheetPr codeName="Sheet25">
    <tabColor theme="4"/>
    <pageSetUpPr fitToPage="1"/>
  </sheetPr>
  <dimension ref="A1:H16"/>
  <sheetViews>
    <sheetView showGridLines="0" zoomScale="60" zoomScaleNormal="60" workbookViewId="0">
      <selection activeCell="C13" sqref="C13:G13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45180</v>
      </c>
      <c r="G3" s="5">
        <f>F3+6</f>
        <v>45186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1.6666666666666665</v>
      </c>
      <c r="D7" s="12"/>
      <c r="E7" s="11">
        <f>SUM(TimeSheet95[Contracted Hours])</f>
        <v>1.6666666666666665</v>
      </c>
      <c r="F7" s="11">
        <f>SUM(TimeSheet95[Additional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45180</v>
      </c>
      <c r="C9" s="17">
        <v>0.33333333333333331</v>
      </c>
      <c r="D9" s="17">
        <v>0.66666666666666663</v>
      </c>
      <c r="E9" s="18">
        <v>0.33333333333333331</v>
      </c>
      <c r="F9" s="18"/>
      <c r="G9" s="19">
        <f>TimeSheet94[[#This Row],[Contracted Hours]]+TimeSheet94[[#This Row],[Additional Hours]]</f>
        <v>0.33333333333333331</v>
      </c>
      <c r="H9" s="4"/>
    </row>
    <row r="10" spans="1:8" ht="50.1" customHeight="1" x14ac:dyDescent="0.55000000000000004">
      <c r="A10" s="4"/>
      <c r="B10" s="16">
        <f t="shared" ref="B10:B15" si="0">B9+1</f>
        <v>45181</v>
      </c>
      <c r="C10" s="17">
        <v>0.33333333333333331</v>
      </c>
      <c r="D10" s="17">
        <v>0.66666666666666663</v>
      </c>
      <c r="E10" s="18">
        <v>0.33333333333333331</v>
      </c>
      <c r="F10" s="18"/>
      <c r="G10" s="19">
        <f>TimeSheet94[[#This Row],[Contracted Hours]]+TimeSheet94[[#This Row],[Additional Hours]]</f>
        <v>0.33333333333333331</v>
      </c>
      <c r="H10" s="4"/>
    </row>
    <row r="11" spans="1:8" ht="50.1" customHeight="1" x14ac:dyDescent="0.55000000000000004">
      <c r="A11" s="4"/>
      <c r="B11" s="16">
        <f t="shared" si="0"/>
        <v>45182</v>
      </c>
      <c r="C11" s="17">
        <v>0.33333333333333331</v>
      </c>
      <c r="D11" s="17">
        <v>0.66666666666666663</v>
      </c>
      <c r="E11" s="18">
        <v>0.33333333333333331</v>
      </c>
      <c r="F11" s="18"/>
      <c r="G11" s="19">
        <f>TimeSheet94[[#This Row],[Contracted Hours]]+TimeSheet94[[#This Row],[Additional Hours]]</f>
        <v>0.33333333333333331</v>
      </c>
      <c r="H11" s="4"/>
    </row>
    <row r="12" spans="1:8" ht="50.1" customHeight="1" x14ac:dyDescent="0.55000000000000004">
      <c r="A12" s="4"/>
      <c r="B12" s="16">
        <f t="shared" si="0"/>
        <v>45183</v>
      </c>
      <c r="C12" s="17">
        <v>0.33333333333333331</v>
      </c>
      <c r="D12" s="17">
        <v>0.66666666666666663</v>
      </c>
      <c r="E12" s="18">
        <v>0.33333333333333331</v>
      </c>
      <c r="F12" s="18"/>
      <c r="G12" s="19">
        <f>TimeSheet94[[#This Row],[Contracted Hours]]+TimeSheet94[[#This Row],[Additional Hours]]</f>
        <v>0.33333333333333331</v>
      </c>
      <c r="H12" s="4"/>
    </row>
    <row r="13" spans="1:8" ht="50.1" customHeight="1" x14ac:dyDescent="0.55000000000000004">
      <c r="A13" s="4"/>
      <c r="B13" s="16">
        <f t="shared" si="0"/>
        <v>45184</v>
      </c>
      <c r="C13" s="17">
        <v>0.33333333333333331</v>
      </c>
      <c r="D13" s="17">
        <v>0.66666666666666663</v>
      </c>
      <c r="E13" s="18">
        <v>0.33333333333333331</v>
      </c>
      <c r="F13" s="18"/>
      <c r="G13" s="19">
        <f>TimeSheet94[[#This Row],[Contracted Hours]]+TimeSheet94[[#This Row],[Additional Hours]]</f>
        <v>0.33333333333333331</v>
      </c>
      <c r="H13" s="4"/>
    </row>
    <row r="14" spans="1:8" ht="50.1" customHeight="1" x14ac:dyDescent="0.55000000000000004">
      <c r="A14" s="4"/>
      <c r="B14" s="16">
        <f t="shared" si="0"/>
        <v>45185</v>
      </c>
      <c r="C14" s="17"/>
      <c r="D14" s="17"/>
      <c r="E14" s="18"/>
      <c r="F14" s="18"/>
      <c r="G14" s="19">
        <f>TimeSheet94[[#This Row],[Contracted Hours]]+TimeSheet94[[#This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45186</v>
      </c>
      <c r="C15" s="17"/>
      <c r="D15" s="17"/>
      <c r="E15" s="18"/>
      <c r="F15" s="18"/>
      <c r="G15" s="19">
        <f>TimeSheet94[[#This Row],[Contracted Hours]]+TimeSheet94[[#This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2CD7DAB4-4FD2-42F2-BAFB-E3269CC81A94}"/>
    <dataValidation allowBlank="1" showInputMessage="1" showErrorMessage="1" prompt="Enter Period Start Date in this cell" sqref="F2" xr:uid="{D288AA1A-D98C-4F06-BE45-89300BBAE061}"/>
    <dataValidation allowBlank="1" showInputMessage="1" showErrorMessage="1" prompt="Enter Employee Email in this cell" sqref="D4" xr:uid="{A6321390-03B0-43E4-9F61-277F0D45F656}"/>
    <dataValidation allowBlank="1" showInputMessage="1" showErrorMessage="1" prompt="Enter Employee Name in this cell" sqref="D3" xr:uid="{D69548ED-220E-4B8A-B01F-160D4E6614BB}"/>
    <dataValidation allowBlank="1" showInputMessage="1" showErrorMessage="1" prompt="Enter any Additional Hours in this column under this heading" sqref="F8" xr:uid="{DC6D8161-10C0-4F42-AE29-4AF5D33D14EA}"/>
    <dataValidation allowBlank="1" showInputMessage="1" showErrorMessage="1" prompt="Enter Contracted Hours in this column under this heading" sqref="E8" xr:uid="{E0893938-6639-4947-A2A7-E46208AB91F7}"/>
    <dataValidation allowBlank="1" showInputMessage="1" showErrorMessage="1" prompt="Enter Finish Time in this column under this heading" sqref="D8" xr:uid="{2C2C913D-7E57-4B3D-BC25-A7BBADE88301}"/>
    <dataValidation allowBlank="1" showInputMessage="1" showErrorMessage="1" prompt="Enter Start Time in this column under this heading" sqref="C8" xr:uid="{CA7E83EF-3727-4D1A-9D03-79310F45A2D3}"/>
    <dataValidation allowBlank="1" showInputMessage="1" showErrorMessage="1" prompt="Enter Date in this column under this heading. Use heading filters to find specific entries" sqref="B8" xr:uid="{BD55E0DA-99C2-4B63-97A0-054A411D09BE}"/>
    <dataValidation allowBlank="1" showInputMessage="1" showErrorMessage="1" prompt="Additional Hours are automatically calculated in this cell" sqref="F7" xr:uid="{3F0B49F7-1EB0-43C5-8A15-17126CE8D917}"/>
    <dataValidation allowBlank="1" showInputMessage="1" showErrorMessage="1" prompt="Contract Hours are automatically calculated in this cell" sqref="E7" xr:uid="{C627410E-B734-45E3-A945-5315C3524E8B}"/>
    <dataValidation allowBlank="1" showInputMessage="1" showErrorMessage="1" prompt="Total Hours Worked are automatically calculated in this cell" sqref="D7" xr:uid="{4793EF10-44BE-4857-BCE7-C464C1F6B76F}"/>
    <dataValidation allowBlank="1" showInputMessage="1" showErrorMessage="1" prompt="Total Worked Hours are automatically calculated in this cell" sqref="C7" xr:uid="{1A1825DB-1F40-414B-99D1-F6A7F10178E9}"/>
    <dataValidation allowBlank="1" showInputMessage="1" showErrorMessage="1" prompt="Total Additional Hours worked are automatically calculated in this column under this heading" sqref="F6" xr:uid="{EEA8C78C-E82F-4124-AACF-3CC084DF427C}"/>
    <dataValidation allowBlank="1" showInputMessage="1" showErrorMessage="1" prompt="Total Contract Hours worked are automatically calculated in this column under this heading" sqref="E6" xr:uid="{AB4B21D0-0BD4-477E-BAD5-3BD8EE075DFC}"/>
    <dataValidation allowBlank="1" showInputMessage="1" showErrorMessage="1" prompt="Total Hours Worked are automatically calculated in cell below" sqref="D6" xr:uid="{C92C9F26-A867-4ABC-A894-6BF17AC66B02}"/>
    <dataValidation allowBlank="1" showInputMessage="1" showErrorMessage="1" prompt="Total Hours Worked are automatically calculated in this column under this heading" sqref="C6 G8" xr:uid="{613DBC0E-580F-4C1D-B5E2-80B87A04313F}"/>
    <dataValidation allowBlank="1" showInputMessage="1" showErrorMessage="1" prompt="Enter Manager Name in this cell" sqref="B3" xr:uid="{2CC65158-540F-4597-B47C-3B746D43114E}"/>
    <dataValidation allowBlank="1" showInputMessage="1" showErrorMessage="1" prompt="Enter Manager Name in cells at right" sqref="B2" xr:uid="{3E020A8F-8EF7-44CA-9FB4-41D7FE4EB64B}"/>
    <dataValidation allowBlank="1" showInputMessage="1" showErrorMessage="1" prompt="Enter Employee Name, Email and Phone in cells at right" sqref="D2" xr:uid="{B6EFBEDE-CB9E-4EAA-8EF6-03D28B39C5B6}"/>
    <dataValidation allowBlank="1" showErrorMessage="1" sqref="G6:G7 B18:G1048576 D2:E4 F17:G17 A2:A1048576 F2 B2:B3 H1:XFD1 H6:XFD1048576 H2:J5 M2:XFD5 B9:G16" xr:uid="{50DE6BAE-88CD-4657-B6FA-264935398684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9A57-ED2A-4A39-A672-5B7C1834CFFA}">
  <sheetPr codeName="Sheet26">
    <tabColor theme="4"/>
    <pageSetUpPr fitToPage="1"/>
  </sheetPr>
  <dimension ref="A1:H16"/>
  <sheetViews>
    <sheetView showGridLines="0" zoomScale="60" zoomScaleNormal="60" workbookViewId="0">
      <selection activeCell="C9" sqref="C9:G13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45187</v>
      </c>
      <c r="G3" s="5">
        <f>F3+6</f>
        <v>45193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1.6666666666666665</v>
      </c>
      <c r="D7" s="12"/>
      <c r="E7" s="11">
        <f>SUM(TimeSheet96[Contracted Hours])</f>
        <v>1.6666666666666665</v>
      </c>
      <c r="F7" s="11">
        <f>SUM(TimeSheet96[Additional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45187</v>
      </c>
      <c r="C9" s="17">
        <v>0.33333333333333331</v>
      </c>
      <c r="D9" s="17">
        <v>0.66666666666666663</v>
      </c>
      <c r="E9" s="18">
        <v>0.33333333333333331</v>
      </c>
      <c r="F9" s="18"/>
      <c r="G9" s="19">
        <f>TimeSheet94[[#This Row],[Contracted Hours]]+TimeSheet94[[#This Row],[Additional Hours]]</f>
        <v>0.33333333333333331</v>
      </c>
      <c r="H9" s="4"/>
    </row>
    <row r="10" spans="1:8" ht="50.1" customHeight="1" x14ac:dyDescent="0.55000000000000004">
      <c r="A10" s="4"/>
      <c r="B10" s="16">
        <f t="shared" ref="B10:B15" si="0">B9+1</f>
        <v>45188</v>
      </c>
      <c r="C10" s="17">
        <v>0.33333333333333331</v>
      </c>
      <c r="D10" s="17">
        <v>0.66666666666666663</v>
      </c>
      <c r="E10" s="18">
        <v>0.33333333333333331</v>
      </c>
      <c r="F10" s="18"/>
      <c r="G10" s="19">
        <f>TimeSheet94[[#This Row],[Contracted Hours]]+TimeSheet94[[#This Row],[Additional Hours]]</f>
        <v>0.33333333333333331</v>
      </c>
      <c r="H10" s="4"/>
    </row>
    <row r="11" spans="1:8" ht="50.1" customHeight="1" x14ac:dyDescent="0.55000000000000004">
      <c r="A11" s="4"/>
      <c r="B11" s="16">
        <f t="shared" si="0"/>
        <v>45189</v>
      </c>
      <c r="C11" s="17">
        <v>0.33333333333333331</v>
      </c>
      <c r="D11" s="17">
        <v>0.66666666666666663</v>
      </c>
      <c r="E11" s="18">
        <v>0.33333333333333331</v>
      </c>
      <c r="F11" s="18"/>
      <c r="G11" s="19">
        <f>TimeSheet94[[#This Row],[Contracted Hours]]+TimeSheet94[[#This Row],[Additional Hours]]</f>
        <v>0.33333333333333331</v>
      </c>
      <c r="H11" s="4"/>
    </row>
    <row r="12" spans="1:8" ht="50.1" customHeight="1" x14ac:dyDescent="0.55000000000000004">
      <c r="A12" s="4"/>
      <c r="B12" s="16">
        <f t="shared" si="0"/>
        <v>45190</v>
      </c>
      <c r="C12" s="17">
        <v>0.33333333333333331</v>
      </c>
      <c r="D12" s="17">
        <v>0.66666666666666663</v>
      </c>
      <c r="E12" s="18">
        <v>0.33333333333333331</v>
      </c>
      <c r="F12" s="18"/>
      <c r="G12" s="19">
        <f>TimeSheet94[[#This Row],[Contracted Hours]]+TimeSheet94[[#This Row],[Additional Hours]]</f>
        <v>0.33333333333333331</v>
      </c>
      <c r="H12" s="4"/>
    </row>
    <row r="13" spans="1:8" ht="50.1" customHeight="1" x14ac:dyDescent="0.55000000000000004">
      <c r="A13" s="4"/>
      <c r="B13" s="16">
        <f t="shared" si="0"/>
        <v>45191</v>
      </c>
      <c r="C13" s="17">
        <v>0.33333333333333331</v>
      </c>
      <c r="D13" s="17">
        <v>0.66666666666666663</v>
      </c>
      <c r="E13" s="18">
        <v>0.33333333333333331</v>
      </c>
      <c r="F13" s="18"/>
      <c r="G13" s="19">
        <f>TimeSheet94[[#This Row],[Contracted Hours]]+TimeSheet94[[#This Row],[Additional Hours]]</f>
        <v>0.33333333333333331</v>
      </c>
      <c r="H13" s="4"/>
    </row>
    <row r="14" spans="1:8" ht="50.1" customHeight="1" x14ac:dyDescent="0.55000000000000004">
      <c r="A14" s="4"/>
      <c r="B14" s="16">
        <f t="shared" si="0"/>
        <v>45192</v>
      </c>
      <c r="C14" s="17"/>
      <c r="D14" s="17"/>
      <c r="E14" s="18"/>
      <c r="F14" s="18"/>
      <c r="G14" s="19">
        <f>TimeSheet94[[#This Row],[Contracted Hours]]+TimeSheet94[[#This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45193</v>
      </c>
      <c r="C15" s="17"/>
      <c r="D15" s="17"/>
      <c r="E15" s="18"/>
      <c r="F15" s="18"/>
      <c r="G15" s="19">
        <f>TimeSheet94[[#This Row],[Contracted Hours]]+TimeSheet94[[#This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CCCF1A98-51FE-47CD-999E-B6D868F0F8D7}"/>
    <dataValidation allowBlank="1" showInputMessage="1" showErrorMessage="1" prompt="Enter Period Start Date in this cell" sqref="F2" xr:uid="{DCA6812A-8E56-46C9-B12E-00644D951C31}"/>
    <dataValidation allowBlank="1" showInputMessage="1" showErrorMessage="1" prompt="Enter Employee Email in this cell" sqref="D4" xr:uid="{36D1B6C4-0FE7-443E-91CE-1FA1A97180B0}"/>
    <dataValidation allowBlank="1" showInputMessage="1" showErrorMessage="1" prompt="Enter Employee Name in this cell" sqref="D3" xr:uid="{640820AA-535C-45BA-87D2-52AD4624C0D8}"/>
    <dataValidation allowBlank="1" showInputMessage="1" showErrorMessage="1" prompt="Enter any Additional Hours in this column under this heading" sqref="F8" xr:uid="{ACFC4C26-B19A-48B7-A9D6-926959D11027}"/>
    <dataValidation allowBlank="1" showInputMessage="1" showErrorMessage="1" prompt="Enter Contracted Hours in this column under this heading" sqref="E8" xr:uid="{2522D2DD-5491-434E-93D8-6E133B52B243}"/>
    <dataValidation allowBlank="1" showInputMessage="1" showErrorMessage="1" prompt="Enter Finish Time in this column under this heading" sqref="D8" xr:uid="{CA4B01B7-44FA-44D2-B3BC-09F4C532BDEE}"/>
    <dataValidation allowBlank="1" showInputMessage="1" showErrorMessage="1" prompt="Enter Start Time in this column under this heading" sqref="C8" xr:uid="{F933B952-FA1D-4D73-A8C3-9B845302C7D8}"/>
    <dataValidation allowBlank="1" showInputMessage="1" showErrorMessage="1" prompt="Enter Date in this column under this heading. Use heading filters to find specific entries" sqref="B8" xr:uid="{77EF1DDB-97D8-41F5-A289-FB040A68E4C6}"/>
    <dataValidation allowBlank="1" showInputMessage="1" showErrorMessage="1" prompt="Additional Hours are automatically calculated in this cell" sqref="F7" xr:uid="{1AF9F143-E604-4481-84D0-4BC7F7F52E3F}"/>
    <dataValidation allowBlank="1" showInputMessage="1" showErrorMessage="1" prompt="Contract Hours are automatically calculated in this cell" sqref="E7" xr:uid="{D783FFF2-EEFC-475F-BA9F-8AD419F1C1EC}"/>
    <dataValidation allowBlank="1" showInputMessage="1" showErrorMessage="1" prompt="Total Hours Worked are automatically calculated in this cell" sqref="D7" xr:uid="{7E918D86-8E05-469A-92B8-159F27A26CEC}"/>
    <dataValidation allowBlank="1" showInputMessage="1" showErrorMessage="1" prompt="Total Worked Hours are automatically calculated in this cell" sqref="C7" xr:uid="{F2057B65-6108-4DDF-9AB3-01CA64935D2B}"/>
    <dataValidation allowBlank="1" showInputMessage="1" showErrorMessage="1" prompt="Total Additional Hours worked are automatically calculated in this column under this heading" sqref="F6" xr:uid="{CDF1BD79-B551-44C9-9E3B-152D0FEE461D}"/>
    <dataValidation allowBlank="1" showInputMessage="1" showErrorMessage="1" prompt="Total Contract Hours worked are automatically calculated in this column under this heading" sqref="E6" xr:uid="{AE4AE7B5-595C-4B52-9205-16E0FA764025}"/>
    <dataValidation allowBlank="1" showInputMessage="1" showErrorMessage="1" prompt="Total Hours Worked are automatically calculated in cell below" sqref="D6" xr:uid="{F251D310-6B3F-4BAB-A7C7-9D0EA08D1B2D}"/>
    <dataValidation allowBlank="1" showInputMessage="1" showErrorMessage="1" prompt="Total Hours Worked are automatically calculated in this column under this heading" sqref="C6 G8" xr:uid="{5D1F21EC-01F6-4F72-A6EC-D57ABD080546}"/>
    <dataValidation allowBlank="1" showInputMessage="1" showErrorMessage="1" prompt="Enter Manager Name in this cell" sqref="B3" xr:uid="{42BDC40D-3A3B-4727-AB4A-DB9272B1BCF2}"/>
    <dataValidation allowBlank="1" showInputMessage="1" showErrorMessage="1" prompt="Enter Manager Name in cells at right" sqref="B2" xr:uid="{FE6862D7-14B7-474B-877D-524BADDC2EB7}"/>
    <dataValidation allowBlank="1" showInputMessage="1" showErrorMessage="1" prompt="Enter Employee Name, Email and Phone in cells at right" sqref="D2" xr:uid="{A8180AEC-A089-413B-98CA-71C5A7750F38}"/>
    <dataValidation allowBlank="1" showErrorMessage="1" sqref="G6:G7 B18:G1048576 F17:G17 A2:A1048576 F2 B2:B3 H1:XFD1 H6:XFD1048576 H2:J5 M2:XFD5 D2:E4 B9:G16" xr:uid="{08AA96AA-6AB4-4B3F-A7DB-78867BE25335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49CB-F12A-46E0-94D4-0E2A64C091CA}">
  <sheetPr codeName="Sheet27">
    <tabColor theme="4"/>
    <pageSetUpPr fitToPage="1"/>
  </sheetPr>
  <dimension ref="A1:H16"/>
  <sheetViews>
    <sheetView showGridLines="0" zoomScale="60" zoomScaleNormal="60" workbookViewId="0">
      <selection activeCell="C9" sqref="C9:G13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45194</v>
      </c>
      <c r="G3" s="5">
        <f>F3+6</f>
        <v>45200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1.6666666666666665</v>
      </c>
      <c r="D7" s="12"/>
      <c r="E7" s="11">
        <f>SUM(TimeSheet97[Contracted Hours])</f>
        <v>1.6666666666666665</v>
      </c>
      <c r="F7" s="11">
        <f>SUM(TimeSheet97[Additional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45194</v>
      </c>
      <c r="C9" s="17">
        <v>0.33333333333333331</v>
      </c>
      <c r="D9" s="17">
        <v>0.66666666666666663</v>
      </c>
      <c r="E9" s="18">
        <v>0.33333333333333331</v>
      </c>
      <c r="F9" s="18"/>
      <c r="G9" s="19">
        <f>TimeSheet94[[#This Row],[Contracted Hours]]+TimeSheet94[[#This Row],[Additional Hours]]</f>
        <v>0.33333333333333331</v>
      </c>
      <c r="H9" s="4"/>
    </row>
    <row r="10" spans="1:8" ht="50.1" customHeight="1" x14ac:dyDescent="0.55000000000000004">
      <c r="A10" s="4"/>
      <c r="B10" s="16">
        <f t="shared" ref="B10:B15" si="0">B9+1</f>
        <v>45195</v>
      </c>
      <c r="C10" s="17">
        <v>0.33333333333333331</v>
      </c>
      <c r="D10" s="17">
        <v>0.66666666666666663</v>
      </c>
      <c r="E10" s="18">
        <v>0.33333333333333331</v>
      </c>
      <c r="F10" s="18"/>
      <c r="G10" s="19">
        <f>TimeSheet94[[#This Row],[Contracted Hours]]+TimeSheet94[[#This Row],[Additional Hours]]</f>
        <v>0.33333333333333331</v>
      </c>
      <c r="H10" s="4"/>
    </row>
    <row r="11" spans="1:8" ht="50.1" customHeight="1" x14ac:dyDescent="0.55000000000000004">
      <c r="A11" s="4"/>
      <c r="B11" s="16">
        <f t="shared" si="0"/>
        <v>45196</v>
      </c>
      <c r="C11" s="17">
        <v>0.33333333333333331</v>
      </c>
      <c r="D11" s="17">
        <v>0.66666666666666663</v>
      </c>
      <c r="E11" s="18">
        <v>0.33333333333333331</v>
      </c>
      <c r="F11" s="18"/>
      <c r="G11" s="19">
        <f>TimeSheet94[[#This Row],[Contracted Hours]]+TimeSheet94[[#This Row],[Additional Hours]]</f>
        <v>0.33333333333333331</v>
      </c>
      <c r="H11" s="4"/>
    </row>
    <row r="12" spans="1:8" ht="50.1" customHeight="1" x14ac:dyDescent="0.55000000000000004">
      <c r="A12" s="4"/>
      <c r="B12" s="16">
        <f t="shared" si="0"/>
        <v>45197</v>
      </c>
      <c r="C12" s="17">
        <v>0.33333333333333331</v>
      </c>
      <c r="D12" s="17">
        <v>0.66666666666666663</v>
      </c>
      <c r="E12" s="18">
        <v>0.33333333333333331</v>
      </c>
      <c r="F12" s="18"/>
      <c r="G12" s="19">
        <f>TimeSheet94[[#This Row],[Contracted Hours]]+TimeSheet94[[#This Row],[Additional Hours]]</f>
        <v>0.33333333333333331</v>
      </c>
      <c r="H12" s="4"/>
    </row>
    <row r="13" spans="1:8" ht="50.1" customHeight="1" x14ac:dyDescent="0.55000000000000004">
      <c r="A13" s="4"/>
      <c r="B13" s="16">
        <f t="shared" si="0"/>
        <v>45198</v>
      </c>
      <c r="C13" s="17">
        <v>0.33333333333333331</v>
      </c>
      <c r="D13" s="17">
        <v>0.66666666666666663</v>
      </c>
      <c r="E13" s="18">
        <v>0.33333333333333331</v>
      </c>
      <c r="F13" s="18"/>
      <c r="G13" s="19">
        <f>TimeSheet94[[#This Row],[Contracted Hours]]+TimeSheet94[[#This Row],[Additional Hours]]</f>
        <v>0.33333333333333331</v>
      </c>
      <c r="H13" s="4"/>
    </row>
    <row r="14" spans="1:8" ht="50.1" customHeight="1" x14ac:dyDescent="0.55000000000000004">
      <c r="A14" s="4"/>
      <c r="B14" s="16">
        <f t="shared" si="0"/>
        <v>45199</v>
      </c>
      <c r="C14" s="17"/>
      <c r="D14" s="17"/>
      <c r="E14" s="18"/>
      <c r="F14" s="18"/>
      <c r="G14" s="19">
        <f>TimeSheet94[[#This Row],[Contracted Hours]]+TimeSheet94[[#This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45200</v>
      </c>
      <c r="C15" s="17"/>
      <c r="D15" s="17"/>
      <c r="E15" s="18"/>
      <c r="F15" s="18"/>
      <c r="G15" s="19">
        <f>TimeSheet94[[#This Row],[Contracted Hours]]+TimeSheet94[[#This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CDBE6847-EFC7-4199-9E42-F6095D00086C}"/>
    <dataValidation allowBlank="1" showInputMessage="1" showErrorMessage="1" prompt="Enter Period Start Date in this cell" sqref="F2" xr:uid="{9C0F083A-5964-4477-A25A-80CFD9BB800C}"/>
    <dataValidation allowBlank="1" showInputMessage="1" showErrorMessage="1" prompt="Enter Employee Email in this cell" sqref="D4" xr:uid="{787A56C2-8E75-4AF3-A05E-119C2FAE65DF}"/>
    <dataValidation allowBlank="1" showInputMessage="1" showErrorMessage="1" prompt="Enter Employee Name in this cell" sqref="D3" xr:uid="{AACB6617-2321-42E6-AEDA-6A0235C38254}"/>
    <dataValidation allowBlank="1" showInputMessage="1" showErrorMessage="1" prompt="Enter any Additional Hours in this column under this heading" sqref="F8" xr:uid="{95EF17CC-8AF9-4D60-ACA3-86C4465175D8}"/>
    <dataValidation allowBlank="1" showInputMessage="1" showErrorMessage="1" prompt="Enter Contracted Hours in this column under this heading" sqref="E8" xr:uid="{2B27572D-CB6D-4509-99EF-05000F0C1DDC}"/>
    <dataValidation allowBlank="1" showInputMessage="1" showErrorMessage="1" prompt="Enter Finish Time in this column under this heading" sqref="D8" xr:uid="{2AB9EAF1-74F3-49D7-A3E3-1CF76C6053DC}"/>
    <dataValidation allowBlank="1" showInputMessage="1" showErrorMessage="1" prompt="Enter Start Time in this column under this heading" sqref="C8" xr:uid="{70430C25-FE04-4971-B273-2E05FB526855}"/>
    <dataValidation allowBlank="1" showInputMessage="1" showErrorMessage="1" prompt="Enter Date in this column under this heading. Use heading filters to find specific entries" sqref="B8" xr:uid="{AC403222-0DD6-4744-B350-76B1490009FA}"/>
    <dataValidation allowBlank="1" showInputMessage="1" showErrorMessage="1" prompt="Additional Hours are automatically calculated in this cell" sqref="F7" xr:uid="{DF3A59C2-43E8-4AF2-9AF2-5D532A0D66F4}"/>
    <dataValidation allowBlank="1" showInputMessage="1" showErrorMessage="1" prompt="Contract Hours are automatically calculated in this cell" sqref="E7" xr:uid="{8AAE09C1-E7C3-418D-B5B5-F7CBFAF58F69}"/>
    <dataValidation allowBlank="1" showInputMessage="1" showErrorMessage="1" prompt="Total Hours Worked are automatically calculated in this cell" sqref="D7" xr:uid="{72A270D7-56D5-4474-BBF2-CBE13C47F827}"/>
    <dataValidation allowBlank="1" showInputMessage="1" showErrorMessage="1" prompt="Total Worked Hours are automatically calculated in this cell" sqref="C7" xr:uid="{EBF85B88-C1CB-4699-8CA4-EE1083E0FC39}"/>
    <dataValidation allowBlank="1" showInputMessage="1" showErrorMessage="1" prompt="Total Additional Hours worked are automatically calculated in this column under this heading" sqref="F6" xr:uid="{FB3615B4-23A5-4A1E-85D4-DCB7AF112B29}"/>
    <dataValidation allowBlank="1" showInputMessage="1" showErrorMessage="1" prompt="Total Contract Hours worked are automatically calculated in this column under this heading" sqref="E6" xr:uid="{F274124F-EC63-4D7E-B7BA-69DC533BE89C}"/>
    <dataValidation allowBlank="1" showInputMessage="1" showErrorMessage="1" prompt="Total Hours Worked are automatically calculated in cell below" sqref="D6" xr:uid="{1E8F6DB4-5F4F-4383-8A5B-6C23FF9A0F37}"/>
    <dataValidation allowBlank="1" showInputMessage="1" showErrorMessage="1" prompt="Total Hours Worked are automatically calculated in this column under this heading" sqref="C6 G8" xr:uid="{2EB673D5-5C12-46AA-85FE-E4547DBE6781}"/>
    <dataValidation allowBlank="1" showInputMessage="1" showErrorMessage="1" prompt="Enter Manager Name in this cell" sqref="B3" xr:uid="{A48523F4-DF80-4A7E-9EE4-A9376B6C2367}"/>
    <dataValidation allowBlank="1" showInputMessage="1" showErrorMessage="1" prompt="Enter Manager Name in cells at right" sqref="B2" xr:uid="{1F2F37EB-5134-46BB-B3C8-69A90F7C43A5}"/>
    <dataValidation allowBlank="1" showInputMessage="1" showErrorMessage="1" prompt="Enter Employee Name, Email and Phone in cells at right" sqref="D2" xr:uid="{3298520C-A918-4538-A2A1-E82758B25AF2}"/>
    <dataValidation allowBlank="1" showErrorMessage="1" sqref="G6:G7 B18:G1048576 D2:E4 F17:G17 A2:A1048576 F2 B2:B3 H1:XFD1 H6:XFD1048576 H2:J5 M2:XFD5 B9:G16" xr:uid="{6CC97FD7-42B7-4E84-9ABA-EED585E739D7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CECC-2D4C-4937-9481-714EA0C2445B}">
  <sheetPr codeName="Sheet28">
    <tabColor theme="4"/>
    <pageSetUpPr fitToPage="1"/>
  </sheetPr>
  <dimension ref="A1:H16"/>
  <sheetViews>
    <sheetView showGridLines="0" zoomScale="60" zoomScaleNormal="60" workbookViewId="0">
      <selection activeCell="C9" sqref="C9"/>
    </sheetView>
  </sheetViews>
  <sheetFormatPr defaultColWidth="10.15625" defaultRowHeight="20.25" customHeight="1" x14ac:dyDescent="0.55000000000000004"/>
  <cols>
    <col min="1" max="1" width="3" customWidth="1"/>
    <col min="2" max="7" width="42.15625" customWidth="1"/>
    <col min="8" max="8" width="3" customWidth="1"/>
  </cols>
  <sheetData>
    <row r="1" spans="1:8" s="3" customFormat="1" ht="90" customHeight="1" thickBot="1" x14ac:dyDescent="0.6">
      <c r="A1" s="1"/>
      <c r="B1" s="21" t="s">
        <v>0</v>
      </c>
      <c r="C1" s="21"/>
      <c r="D1" s="21"/>
      <c r="E1" s="21"/>
      <c r="F1" s="21"/>
      <c r="G1" s="21"/>
      <c r="H1" s="2"/>
    </row>
    <row r="2" spans="1:8" ht="40" customHeight="1" thickBot="1" x14ac:dyDescent="0.6">
      <c r="A2" s="4"/>
      <c r="B2" s="22" t="s">
        <v>1</v>
      </c>
      <c r="C2" s="23"/>
      <c r="D2" s="22" t="s">
        <v>2</v>
      </c>
      <c r="E2" s="22"/>
      <c r="F2" s="24" t="s">
        <v>3</v>
      </c>
      <c r="G2" s="25"/>
      <c r="H2" s="4"/>
    </row>
    <row r="3" spans="1:8" ht="40" customHeight="1" x14ac:dyDescent="0.55000000000000004">
      <c r="A3" s="4"/>
      <c r="B3" s="26" t="s">
        <v>4</v>
      </c>
      <c r="C3" s="26"/>
      <c r="D3" s="26"/>
      <c r="E3" s="26"/>
      <c r="F3" s="5">
        <v>45201</v>
      </c>
      <c r="G3" s="5">
        <f>F3+6</f>
        <v>45207</v>
      </c>
      <c r="H3" s="4"/>
    </row>
    <row r="4" spans="1:8" ht="40" customHeight="1" x14ac:dyDescent="0.55000000000000004">
      <c r="A4" s="4"/>
      <c r="B4" s="6"/>
      <c r="C4" s="6"/>
      <c r="D4" s="20"/>
      <c r="E4" s="20"/>
      <c r="F4" s="6"/>
      <c r="G4" s="6"/>
      <c r="H4" s="4"/>
    </row>
    <row r="5" spans="1:8" ht="35.25" customHeight="1" thickBot="1" x14ac:dyDescent="0.6">
      <c r="A5" s="4"/>
      <c r="B5" s="6"/>
      <c r="C5" s="6"/>
      <c r="D5" s="6"/>
      <c r="E5" s="6"/>
      <c r="F5" s="6"/>
      <c r="G5" s="6"/>
      <c r="H5" s="4"/>
    </row>
    <row r="6" spans="1:8" ht="50.1" customHeight="1" thickBot="1" x14ac:dyDescent="0.75">
      <c r="A6" s="4"/>
      <c r="B6" s="7"/>
      <c r="C6" s="8" t="s">
        <v>5</v>
      </c>
      <c r="D6" s="8"/>
      <c r="E6" s="8" t="s">
        <v>6</v>
      </c>
      <c r="F6" s="8" t="s">
        <v>7</v>
      </c>
      <c r="G6" s="9"/>
      <c r="H6" s="4"/>
    </row>
    <row r="7" spans="1:8" ht="50.1" customHeight="1" x14ac:dyDescent="0.55000000000000004">
      <c r="A7" s="4"/>
      <c r="B7" s="10"/>
      <c r="C7" s="11">
        <f>E7+F7</f>
        <v>0</v>
      </c>
      <c r="D7" s="12"/>
      <c r="E7" s="11">
        <f>SUM(TimeSheet98[Contracted Hours])</f>
        <v>0</v>
      </c>
      <c r="F7" s="11">
        <f>SUM(TimeSheet98[Additional Hours])</f>
        <v>0</v>
      </c>
      <c r="G7" s="10"/>
      <c r="H7" s="4"/>
    </row>
    <row r="8" spans="1:8" s="15" customFormat="1" ht="90" customHeight="1" x14ac:dyDescent="0.55000000000000004">
      <c r="A8" s="13"/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5</v>
      </c>
      <c r="H8" s="13"/>
    </row>
    <row r="9" spans="1:8" ht="50.1" customHeight="1" x14ac:dyDescent="0.55000000000000004">
      <c r="A9" s="4"/>
      <c r="B9" s="16">
        <f>F3</f>
        <v>45201</v>
      </c>
      <c r="C9" s="17"/>
      <c r="D9" s="17"/>
      <c r="E9" s="18"/>
      <c r="F9" s="18"/>
      <c r="G9" s="19">
        <f>TimeSheet98[[#This Row],[Contracted Hours]]+TimeSheet98[[#This Row],[Additional Hours]]</f>
        <v>0</v>
      </c>
      <c r="H9" s="4"/>
    </row>
    <row r="10" spans="1:8" ht="50.1" customHeight="1" x14ac:dyDescent="0.55000000000000004">
      <c r="A10" s="4"/>
      <c r="B10" s="16">
        <f t="shared" ref="B10:B15" si="0">B9+1</f>
        <v>45202</v>
      </c>
      <c r="C10" s="17"/>
      <c r="D10" s="17"/>
      <c r="E10" s="18"/>
      <c r="F10" s="18"/>
      <c r="G10" s="19">
        <f>TimeSheet98[[#This Row],[Contracted Hours]]+TimeSheet98[[#This Row],[Additional Hours]]</f>
        <v>0</v>
      </c>
      <c r="H10" s="4"/>
    </row>
    <row r="11" spans="1:8" ht="50.1" customHeight="1" x14ac:dyDescent="0.55000000000000004">
      <c r="A11" s="4"/>
      <c r="B11" s="16">
        <f t="shared" si="0"/>
        <v>45203</v>
      </c>
      <c r="C11" s="17"/>
      <c r="D11" s="17"/>
      <c r="E11" s="18"/>
      <c r="F11" s="18"/>
      <c r="G11" s="19">
        <f>TimeSheet98[[#This Row],[Contracted Hours]]+TimeSheet98[[#This Row],[Additional Hours]]</f>
        <v>0</v>
      </c>
      <c r="H11" s="4"/>
    </row>
    <row r="12" spans="1:8" ht="50.1" customHeight="1" x14ac:dyDescent="0.55000000000000004">
      <c r="A12" s="4"/>
      <c r="B12" s="16">
        <f t="shared" si="0"/>
        <v>45204</v>
      </c>
      <c r="C12" s="17"/>
      <c r="D12" s="17"/>
      <c r="E12" s="18"/>
      <c r="F12" s="18"/>
      <c r="G12" s="19">
        <f>TimeSheet98[[#This Row],[Contracted Hours]]+TimeSheet98[[#This Row],[Additional Hours]]</f>
        <v>0</v>
      </c>
      <c r="H12" s="4"/>
    </row>
    <row r="13" spans="1:8" ht="50.1" customHeight="1" x14ac:dyDescent="0.55000000000000004">
      <c r="A13" s="4"/>
      <c r="B13" s="16">
        <f t="shared" si="0"/>
        <v>45205</v>
      </c>
      <c r="C13" s="17"/>
      <c r="D13" s="17"/>
      <c r="E13" s="18"/>
      <c r="F13" s="18"/>
      <c r="G13" s="19">
        <f>TimeSheet98[[#This Row],[Contracted Hours]]+TimeSheet98[[#This Row],[Additional Hours]]</f>
        <v>0</v>
      </c>
      <c r="H13" s="4"/>
    </row>
    <row r="14" spans="1:8" ht="50.1" customHeight="1" x14ac:dyDescent="0.55000000000000004">
      <c r="A14" s="4"/>
      <c r="B14" s="16">
        <f t="shared" si="0"/>
        <v>45206</v>
      </c>
      <c r="C14" s="17"/>
      <c r="D14" s="17"/>
      <c r="E14" s="18"/>
      <c r="F14" s="18"/>
      <c r="G14" s="19">
        <f>TimeSheet98[[#This Row],[Contracted Hours]]+TimeSheet98[[#This Row],[Additional Hours]]</f>
        <v>0</v>
      </c>
      <c r="H14" s="4"/>
    </row>
    <row r="15" spans="1:8" ht="50.1" customHeight="1" x14ac:dyDescent="0.55000000000000004">
      <c r="A15" s="4"/>
      <c r="B15" s="16">
        <f t="shared" si="0"/>
        <v>45207</v>
      </c>
      <c r="C15" s="17"/>
      <c r="D15" s="17"/>
      <c r="E15" s="18"/>
      <c r="F15" s="18"/>
      <c r="G15" s="19">
        <f>TimeSheet98[[#This Row],[Contracted Hours]]+TimeSheet98[[#This Row],[Additional Hours]]</f>
        <v>0</v>
      </c>
      <c r="H15" s="4"/>
    </row>
    <row r="16" spans="1:8" ht="20.100000000000001" customHeight="1" x14ac:dyDescent="0.55000000000000004">
      <c r="A16" s="4"/>
      <c r="B16" s="4"/>
      <c r="C16" s="4"/>
      <c r="D16" s="4"/>
      <c r="E16" s="4"/>
      <c r="F16" s="4"/>
      <c r="G16" s="4"/>
      <c r="H16" s="4"/>
    </row>
  </sheetData>
  <mergeCells count="7">
    <mergeCell ref="D4:E4"/>
    <mergeCell ref="B1:G1"/>
    <mergeCell ref="B2:C2"/>
    <mergeCell ref="D2:E2"/>
    <mergeCell ref="F2:G2"/>
    <mergeCell ref="B3:C3"/>
    <mergeCell ref="D3:E3"/>
  </mergeCells>
  <dataValidations count="21">
    <dataValidation allowBlank="1" showInputMessage="1" showErrorMessage="1" prompt="Total Additional Hours are calculated in the cell below" sqref="F6" xr:uid="{83AB2E0E-6BC4-4009-A58D-5123F63D5F20}"/>
    <dataValidation allowBlank="1" showInputMessage="1" showErrorMessage="1" prompt="Enter Period Start Date in this cell" sqref="F2" xr:uid="{F52E35D5-91FB-4DCB-9A6B-DE4A33260CE6}"/>
    <dataValidation allowBlank="1" showInputMessage="1" showErrorMessage="1" prompt="Enter Employee Email in this cell" sqref="D4" xr:uid="{A64BB824-4776-4922-9725-8EDF0F203DF0}"/>
    <dataValidation allowBlank="1" showInputMessage="1" showErrorMessage="1" prompt="Enter Employee Name in this cell" sqref="D3" xr:uid="{4715842F-658A-4B3B-AB7D-DC7A7DBB9BE5}"/>
    <dataValidation allowBlank="1" showInputMessage="1" showErrorMessage="1" prompt="Enter any Additional Hours in this column under this heading" sqref="F8" xr:uid="{4D56D380-7149-4A96-B1EE-0B5660349EB5}"/>
    <dataValidation allowBlank="1" showInputMessage="1" showErrorMessage="1" prompt="Enter Contracted Hours in this column under this heading" sqref="E8" xr:uid="{B40EB5AE-A0DF-44E1-9164-13360111464D}"/>
    <dataValidation allowBlank="1" showInputMessage="1" showErrorMessage="1" prompt="Enter Finish Time in this column under this heading" sqref="D8" xr:uid="{5DA24FCF-A05F-4827-A46B-AC34E3A560F6}"/>
    <dataValidation allowBlank="1" showInputMessage="1" showErrorMessage="1" prompt="Enter Start Time in this column under this heading" sqref="C8" xr:uid="{DD9B3DE1-DAD4-4700-A959-581EC99F7912}"/>
    <dataValidation allowBlank="1" showInputMessage="1" showErrorMessage="1" prompt="Enter Date in this column under this heading. Use heading filters to find specific entries" sqref="B8" xr:uid="{77AA889D-A0E9-4DE7-A1BD-BE0028A148DF}"/>
    <dataValidation allowBlank="1" showInputMessage="1" showErrorMessage="1" prompt="Additional Hours are automatically calculated in this cell" sqref="F7" xr:uid="{C26B370E-3699-4CBB-8BB2-3FF3D584F998}"/>
    <dataValidation allowBlank="1" showInputMessage="1" showErrorMessage="1" prompt="Contract Hours are automatically calculated in this cell" sqref="E7" xr:uid="{EDFB6C46-9110-4C13-B72C-C287803BBA7B}"/>
    <dataValidation allowBlank="1" showInputMessage="1" showErrorMessage="1" prompt="Total Hours Worked are automatically calculated in this cell" sqref="D7" xr:uid="{749F9DDB-3B2A-410D-8C96-CF0365480E00}"/>
    <dataValidation allowBlank="1" showInputMessage="1" showErrorMessage="1" prompt="Total Worked Hours are automatically calculated in this cell" sqref="C7" xr:uid="{6166F731-43B0-48AA-851C-7FF048621055}"/>
    <dataValidation allowBlank="1" showInputMessage="1" showErrorMessage="1" prompt="Total Additional Hours worked are automatically calculated in this column under this heading" sqref="F6" xr:uid="{136D6C3B-FF72-4D1F-A446-BFA42DE63539}"/>
    <dataValidation allowBlank="1" showInputMessage="1" showErrorMessage="1" prompt="Total Contract Hours worked are automatically calculated in this column under this heading" sqref="E6" xr:uid="{F64E85A5-A404-4A86-A597-498286262EFD}"/>
    <dataValidation allowBlank="1" showInputMessage="1" showErrorMessage="1" prompt="Total Hours Worked are automatically calculated in cell below" sqref="D6" xr:uid="{730D34A1-E7DD-4A82-A348-E13D7D012E43}"/>
    <dataValidation allowBlank="1" showInputMessage="1" showErrorMessage="1" prompt="Total Hours Worked are automatically calculated in this column under this heading" sqref="C6 G8" xr:uid="{762B8AED-266B-4E42-8406-ED6E76EAA1B0}"/>
    <dataValidation allowBlank="1" showInputMessage="1" showErrorMessage="1" prompt="Enter Manager Name in this cell" sqref="B3" xr:uid="{C24A3220-50DD-45AE-927F-7EC47034915E}"/>
    <dataValidation allowBlank="1" showInputMessage="1" showErrorMessage="1" prompt="Enter Manager Name in cells at right" sqref="B2" xr:uid="{84189866-F8A4-4672-8D0A-BCED48A0B729}"/>
    <dataValidation allowBlank="1" showInputMessage="1" showErrorMessage="1" prompt="Enter Employee Name, Email and Phone in cells at right" sqref="D2" xr:uid="{743C9269-AD99-445E-96F7-8ED018ED27F3}"/>
    <dataValidation allowBlank="1" showErrorMessage="1" sqref="G6:G7 B18:G1048576 B9:G16 F17:G17 A2:A1048576 F2 B2:B3 H1:XFD1 H6:XFD1048576 H2:J5 M2:XFD5 D2:E4" xr:uid="{DB41644A-4FD1-4B75-A6D7-41FB043896F6}"/>
  </dataValidations>
  <printOptions horizontalCentered="1"/>
  <pageMargins left="0.4" right="0.4" top="0.4" bottom="0.4" header="0.3" footer="0.3"/>
  <pageSetup scale="50" fitToHeight="0" orientation="landscape" r:id="rId1"/>
  <headerFooter differentFirst="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112</vt:i4>
      </vt:variant>
    </vt:vector>
  </HeadingPairs>
  <TitlesOfParts>
    <vt:vector size="140" baseType="lpstr">
      <vt:lpstr>Timesheet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Week 18</vt:lpstr>
      <vt:lpstr>Week 19</vt:lpstr>
      <vt:lpstr>Week 20</vt:lpstr>
      <vt:lpstr>Week 21</vt:lpstr>
      <vt:lpstr>Week 22</vt:lpstr>
      <vt:lpstr>Week 23</vt:lpstr>
      <vt:lpstr>Week 24</vt:lpstr>
      <vt:lpstr>Week 25</vt:lpstr>
      <vt:lpstr>Week 26</vt:lpstr>
      <vt:lpstr>Week 27</vt:lpstr>
      <vt:lpstr>'Week 1'!ColumnTitle1</vt:lpstr>
      <vt:lpstr>'Week 10'!ColumnTitle1</vt:lpstr>
      <vt:lpstr>'Week 11'!ColumnTitle1</vt:lpstr>
      <vt:lpstr>'Week 12'!ColumnTitle1</vt:lpstr>
      <vt:lpstr>'Week 13'!ColumnTitle1</vt:lpstr>
      <vt:lpstr>'Week 14'!ColumnTitle1</vt:lpstr>
      <vt:lpstr>'Week 15'!ColumnTitle1</vt:lpstr>
      <vt:lpstr>'Week 16'!ColumnTitle1</vt:lpstr>
      <vt:lpstr>'Week 17'!ColumnTitle1</vt:lpstr>
      <vt:lpstr>'Week 18'!ColumnTitle1</vt:lpstr>
      <vt:lpstr>'Week 19'!ColumnTitle1</vt:lpstr>
      <vt:lpstr>'Week 2'!ColumnTitle1</vt:lpstr>
      <vt:lpstr>'Week 20'!ColumnTitle1</vt:lpstr>
      <vt:lpstr>'Week 21'!ColumnTitle1</vt:lpstr>
      <vt:lpstr>'Week 22'!ColumnTitle1</vt:lpstr>
      <vt:lpstr>'Week 23'!ColumnTitle1</vt:lpstr>
      <vt:lpstr>'Week 24'!ColumnTitle1</vt:lpstr>
      <vt:lpstr>'Week 25'!ColumnTitle1</vt:lpstr>
      <vt:lpstr>'Week 26'!ColumnTitle1</vt:lpstr>
      <vt:lpstr>'Week 27'!ColumnTitle1</vt:lpstr>
      <vt:lpstr>'Week 3'!ColumnTitle1</vt:lpstr>
      <vt:lpstr>'Week 4'!ColumnTitle1</vt:lpstr>
      <vt:lpstr>'Week 5'!ColumnTitle1</vt:lpstr>
      <vt:lpstr>'Week 6'!ColumnTitle1</vt:lpstr>
      <vt:lpstr>'Week 7'!ColumnTitle1</vt:lpstr>
      <vt:lpstr>'Week 8'!ColumnTitle1</vt:lpstr>
      <vt:lpstr>'Week 9'!ColumnTitle1</vt:lpstr>
      <vt:lpstr>ColumnTitle1</vt:lpstr>
      <vt:lpstr>'Week 1'!ColumnTitleRegion1..E6.1</vt:lpstr>
      <vt:lpstr>'Week 10'!ColumnTitleRegion1..E6.1</vt:lpstr>
      <vt:lpstr>'Week 11'!ColumnTitleRegion1..E6.1</vt:lpstr>
      <vt:lpstr>'Week 12'!ColumnTitleRegion1..E6.1</vt:lpstr>
      <vt:lpstr>'Week 13'!ColumnTitleRegion1..E6.1</vt:lpstr>
      <vt:lpstr>'Week 14'!ColumnTitleRegion1..E6.1</vt:lpstr>
      <vt:lpstr>'Week 15'!ColumnTitleRegion1..E6.1</vt:lpstr>
      <vt:lpstr>'Week 16'!ColumnTitleRegion1..E6.1</vt:lpstr>
      <vt:lpstr>'Week 17'!ColumnTitleRegion1..E6.1</vt:lpstr>
      <vt:lpstr>'Week 18'!ColumnTitleRegion1..E6.1</vt:lpstr>
      <vt:lpstr>'Week 19'!ColumnTitleRegion1..E6.1</vt:lpstr>
      <vt:lpstr>'Week 2'!ColumnTitleRegion1..E6.1</vt:lpstr>
      <vt:lpstr>'Week 20'!ColumnTitleRegion1..E6.1</vt:lpstr>
      <vt:lpstr>'Week 21'!ColumnTitleRegion1..E6.1</vt:lpstr>
      <vt:lpstr>'Week 22'!ColumnTitleRegion1..E6.1</vt:lpstr>
      <vt:lpstr>'Week 23'!ColumnTitleRegion1..E6.1</vt:lpstr>
      <vt:lpstr>'Week 24'!ColumnTitleRegion1..E6.1</vt:lpstr>
      <vt:lpstr>'Week 25'!ColumnTitleRegion1..E6.1</vt:lpstr>
      <vt:lpstr>'Week 26'!ColumnTitleRegion1..E6.1</vt:lpstr>
      <vt:lpstr>'Week 27'!ColumnTitleRegion1..E6.1</vt:lpstr>
      <vt:lpstr>'Week 3'!ColumnTitleRegion1..E6.1</vt:lpstr>
      <vt:lpstr>'Week 4'!ColumnTitleRegion1..E6.1</vt:lpstr>
      <vt:lpstr>'Week 5'!ColumnTitleRegion1..E6.1</vt:lpstr>
      <vt:lpstr>'Week 6'!ColumnTitleRegion1..E6.1</vt:lpstr>
      <vt:lpstr>'Week 7'!ColumnTitleRegion1..E6.1</vt:lpstr>
      <vt:lpstr>'Week 8'!ColumnTitleRegion1..E6.1</vt:lpstr>
      <vt:lpstr>'Week 9'!ColumnTitleRegion1..E6.1</vt:lpstr>
      <vt:lpstr>ColumnTitleRegion1..E6.1</vt:lpstr>
      <vt:lpstr>Timesheet!Print_Titles</vt:lpstr>
      <vt:lpstr>'Week 1'!Print_Titles</vt:lpstr>
      <vt:lpstr>'Week 10'!Print_Titles</vt:lpstr>
      <vt:lpstr>'Week 11'!Print_Titles</vt:lpstr>
      <vt:lpstr>'Week 12'!Print_Titles</vt:lpstr>
      <vt:lpstr>'Week 13'!Print_Titles</vt:lpstr>
      <vt:lpstr>'Week 14'!Print_Titles</vt:lpstr>
      <vt:lpstr>'Week 15'!Print_Titles</vt:lpstr>
      <vt:lpstr>'Week 16'!Print_Titles</vt:lpstr>
      <vt:lpstr>'Week 17'!Print_Titles</vt:lpstr>
      <vt:lpstr>'Week 18'!Print_Titles</vt:lpstr>
      <vt:lpstr>'Week 19'!Print_Titles</vt:lpstr>
      <vt:lpstr>'Week 2'!Print_Titles</vt:lpstr>
      <vt:lpstr>'Week 20'!Print_Titles</vt:lpstr>
      <vt:lpstr>'Week 21'!Print_Titles</vt:lpstr>
      <vt:lpstr>'Week 22'!Print_Titles</vt:lpstr>
      <vt:lpstr>'Week 23'!Print_Titles</vt:lpstr>
      <vt:lpstr>'Week 24'!Print_Titles</vt:lpstr>
      <vt:lpstr>'Week 25'!Print_Titles</vt:lpstr>
      <vt:lpstr>'Week 26'!Print_Titles</vt:lpstr>
      <vt:lpstr>'Week 27'!Print_Titles</vt:lpstr>
      <vt:lpstr>'Week 3'!Print_Titles</vt:lpstr>
      <vt:lpstr>'Week 4'!Print_Titles</vt:lpstr>
      <vt:lpstr>'Week 5'!Print_Titles</vt:lpstr>
      <vt:lpstr>'Week 6'!Print_Titles</vt:lpstr>
      <vt:lpstr>'Week 7'!Print_Titles</vt:lpstr>
      <vt:lpstr>'Week 8'!Print_Titles</vt:lpstr>
      <vt:lpstr>'Week 9'!Print_Titles</vt:lpstr>
      <vt:lpstr>'Week 1'!WorkweekHours</vt:lpstr>
      <vt:lpstr>'Week 10'!WorkweekHours</vt:lpstr>
      <vt:lpstr>'Week 11'!WorkweekHours</vt:lpstr>
      <vt:lpstr>'Week 12'!WorkweekHours</vt:lpstr>
      <vt:lpstr>'Week 13'!WorkweekHours</vt:lpstr>
      <vt:lpstr>'Week 14'!WorkweekHours</vt:lpstr>
      <vt:lpstr>'Week 15'!WorkweekHours</vt:lpstr>
      <vt:lpstr>'Week 16'!WorkweekHours</vt:lpstr>
      <vt:lpstr>'Week 17'!WorkweekHours</vt:lpstr>
      <vt:lpstr>'Week 18'!WorkweekHours</vt:lpstr>
      <vt:lpstr>'Week 19'!WorkweekHours</vt:lpstr>
      <vt:lpstr>'Week 2'!WorkweekHours</vt:lpstr>
      <vt:lpstr>'Week 20'!WorkweekHours</vt:lpstr>
      <vt:lpstr>'Week 21'!WorkweekHours</vt:lpstr>
      <vt:lpstr>'Week 22'!WorkweekHours</vt:lpstr>
      <vt:lpstr>'Week 23'!WorkweekHours</vt:lpstr>
      <vt:lpstr>'Week 24'!WorkweekHours</vt:lpstr>
      <vt:lpstr>'Week 25'!WorkweekHours</vt:lpstr>
      <vt:lpstr>'Week 26'!WorkweekHours</vt:lpstr>
      <vt:lpstr>'Week 27'!WorkweekHours</vt:lpstr>
      <vt:lpstr>'Week 3'!WorkweekHours</vt:lpstr>
      <vt:lpstr>'Week 4'!WorkweekHours</vt:lpstr>
      <vt:lpstr>'Week 5'!WorkweekHours</vt:lpstr>
      <vt:lpstr>'Week 6'!WorkweekHours</vt:lpstr>
      <vt:lpstr>'Week 7'!WorkweekHours</vt:lpstr>
      <vt:lpstr>'Week 8'!WorkweekHours</vt:lpstr>
      <vt:lpstr>'Week 9'!WorkweekHours</vt:lpstr>
      <vt:lpstr>WorkweekHours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Seery</dc:creator>
  <cp:keywords/>
  <dc:description/>
  <cp:lastModifiedBy>Andy Strang</cp:lastModifiedBy>
  <cp:revision/>
  <dcterms:created xsi:type="dcterms:W3CDTF">2023-01-27T10:16:57Z</dcterms:created>
  <dcterms:modified xsi:type="dcterms:W3CDTF">2023-11-01T12:47:12Z</dcterms:modified>
  <cp:category/>
  <cp:contentStatus/>
</cp:coreProperties>
</file>